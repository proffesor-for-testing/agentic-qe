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0" yWindow="760" windowWidth="34560" windowHeight="19880" tabRatio="600" firstSheet="0" activeTab="4" autoFilterDateGrouping="1"/>
  </bookViews>
  <sheets>
    <sheet xmlns:r="http://schemas.openxmlformats.org/officeDocument/2006/relationships" name="Master data" sheetId="1" state="hidden" r:id="rId1"/>
    <sheet xmlns:r="http://schemas.openxmlformats.org/officeDocument/2006/relationships" name="Agents ACN prio" sheetId="2" state="visible" r:id="rId2"/>
    <sheet xmlns:r="http://schemas.openxmlformats.org/officeDocument/2006/relationships" name="ACN Agentfactory" sheetId="3" state="visible" r:id="rId3"/>
    <sheet xmlns:r="http://schemas.openxmlformats.org/officeDocument/2006/relationships" name="Agents Siemens criteria" sheetId="4" state="visible" r:id="rId4"/>
    <sheet xmlns:r="http://schemas.openxmlformats.org/officeDocument/2006/relationships" name="Agents Siemens crit - review" sheetId="5" state="visible" r:id="rId5"/>
    <sheet xmlns:r="http://schemas.openxmlformats.org/officeDocument/2006/relationships" name="Siemens DI Use Cases" sheetId="6" state="visible" r:id="rId6"/>
    <sheet xmlns:r="http://schemas.openxmlformats.org/officeDocument/2006/relationships" name="Siemens SI Use Cases" sheetId="7" state="visible" r:id="rId7"/>
    <sheet xmlns:r="http://schemas.openxmlformats.org/officeDocument/2006/relationships" name="Siemens SXMP Use Cases" sheetId="8" state="visible" r:id="rId8"/>
    <sheet xmlns:r="http://schemas.openxmlformats.org/officeDocument/2006/relationships" name="Siemens Agentforce Initiatives" sheetId="9" state="visible" r:id="rId9"/>
  </sheets>
  <definedNames/>
  <calcPr calcId="191029" fullCalcOnLoad="1"/>
</workbook>
</file>

<file path=xl/styles.xml><?xml version="1.0" encoding="utf-8"?>
<styleSheet xmlns="http://schemas.openxmlformats.org/spreadsheetml/2006/main">
  <numFmts count="0"/>
  <fonts count="29">
    <font>
      <name val="Aptos Narrow"/>
      <family val="2"/>
      <color theme="1"/>
      <sz val="11"/>
      <scheme val="minor"/>
    </font>
    <font>
      <name val="Aptos Narrow"/>
      <family val="2"/>
      <b val="1"/>
      <color theme="1"/>
      <sz val="11"/>
      <scheme val="minor"/>
    </font>
    <font>
      <name val="Graphik"/>
      <b val="1"/>
      <color rgb="FFFFFFFF"/>
      <sz val="18"/>
    </font>
    <font>
      <name val="Aptos Narrow"/>
      <family val="2"/>
      <color theme="1"/>
      <sz val="10"/>
      <scheme val="minor"/>
    </font>
    <font>
      <name val="Arial"/>
      <family val="2"/>
      <sz val="14"/>
    </font>
    <font>
      <name val="Arial"/>
      <family val="2"/>
      <color theme="0"/>
      <sz val="14"/>
    </font>
    <font>
      <name val="Graphik"/>
      <family val="2"/>
      <b val="1"/>
      <color rgb="FFFFFFFF"/>
      <sz val="10"/>
    </font>
    <font>
      <name val="Arial"/>
      <family val="2"/>
      <b val="1"/>
      <sz val="14"/>
    </font>
    <font>
      <name val="Aptos Narrow"/>
      <family val="2"/>
      <color theme="1"/>
      <sz val="12"/>
      <scheme val="minor"/>
    </font>
    <font>
      <name val="Arial"/>
      <family val="2"/>
      <color theme="1"/>
      <sz val="14"/>
    </font>
    <font>
      <name val="Graphik"/>
      <family val="2"/>
      <b val="1"/>
      <color rgb="FFFFFFFF"/>
      <sz val="18"/>
    </font>
    <font>
      <name val="Arial"/>
      <family val="2"/>
      <b val="1"/>
      <color theme="1"/>
      <sz val="14"/>
    </font>
    <font>
      <name val="Aptos Narrow"/>
      <family val="2"/>
      <b val="1"/>
      <color theme="0"/>
      <sz val="11"/>
      <scheme val="minor"/>
    </font>
    <font>
      <name val="Aptos Narrow"/>
      <family val="2"/>
      <i val="1"/>
      <color theme="1"/>
      <sz val="11"/>
      <scheme val="minor"/>
    </font>
    <font>
      <name val="Aptos Narrow"/>
      <family val="2"/>
      <b val="1"/>
      <color theme="4"/>
      <sz val="12"/>
      <scheme val="minor"/>
    </font>
    <font>
      <name val="Aptos Narrow"/>
      <family val="2"/>
      <color theme="1" tint="0.3499862666707358"/>
      <sz val="12"/>
      <scheme val="minor"/>
    </font>
    <font>
      <name val="Aptos Narrow"/>
      <family val="2"/>
      <color rgb="FF000000"/>
      <sz val="12"/>
      <scheme val="minor"/>
    </font>
    <font>
      <name val="Aptos Narrow"/>
      <family val="2"/>
      <color rgb="FF000000"/>
      <sz val="11"/>
      <scheme val="minor"/>
    </font>
    <font>
      <name val="Aptos Narrow"/>
      <family val="2"/>
      <b val="1"/>
      <color rgb="FF000000"/>
      <sz val="11"/>
      <scheme val="minor"/>
    </font>
    <font>
      <name val="Aptos Narrow"/>
      <family val="2"/>
      <color theme="0"/>
      <sz val="11"/>
      <scheme val="minor"/>
    </font>
    <font>
      <name val="Aptos Narrow"/>
      <color rgb="FF000000"/>
      <sz val="12"/>
    </font>
    <font>
      <name val="Aptos Narrow"/>
      <family val="2"/>
      <color theme="1"/>
      <sz val="11"/>
    </font>
    <font>
      <name val="Aptos Narrow"/>
      <family val="2"/>
      <b val="1"/>
      <color theme="1"/>
      <sz val="11"/>
    </font>
    <font>
      <name val="Aptos Narrow"/>
      <color theme="1"/>
      <sz val="11"/>
    </font>
    <font>
      <name val="Aptos Narrow"/>
      <family val="2"/>
      <color theme="1"/>
      <sz val="12"/>
    </font>
    <font>
      <name val="Aptos Narrow"/>
      <family val="2"/>
      <i val="1"/>
      <color theme="1"/>
      <sz val="11"/>
    </font>
    <font>
      <name val="Aptos Narrow"/>
      <family val="2"/>
      <i val="1"/>
      <color theme="0"/>
      <sz val="11"/>
      <scheme val="minor"/>
    </font>
    <font>
      <name val="Aptos Narrow"/>
      <color theme="1"/>
      <sz val="12"/>
    </font>
    <font>
      <name val="Aptos Narrow"/>
      <b val="1"/>
      <color theme="1"/>
      <sz val="11"/>
    </font>
  </fonts>
  <fills count="26">
    <fill>
      <patternFill/>
    </fill>
    <fill>
      <patternFill patternType="gray125"/>
    </fill>
    <fill>
      <patternFill patternType="solid">
        <fgColor rgb="FFA100FF"/>
        <bgColor indexed="64"/>
      </patternFill>
    </fill>
    <fill>
      <patternFill patternType="solid">
        <fgColor theme="2"/>
        <bgColor indexed="64"/>
      </patternFill>
    </fill>
    <fill>
      <patternFill patternType="solid">
        <fgColor theme="0"/>
        <bgColor indexed="64"/>
      </patternFill>
    </fill>
    <fill>
      <patternFill patternType="solid">
        <fgColor rgb="FFFFFF00"/>
        <bgColor indexed="64"/>
      </patternFill>
    </fill>
    <fill>
      <patternFill patternType="solid">
        <fgColor rgb="FF00FFFF"/>
        <bgColor indexed="64"/>
      </patternFill>
    </fill>
    <fill>
      <patternFill patternType="solid">
        <fgColor theme="1"/>
        <bgColor indexed="64"/>
      </patternFill>
    </fill>
    <fill>
      <patternFill patternType="solid">
        <fgColor theme="0" tint="-0.3499862666707358"/>
        <bgColor indexed="64"/>
      </patternFill>
    </fill>
    <fill>
      <patternFill patternType="solid">
        <fgColor rgb="FF002060"/>
        <bgColor indexed="64"/>
      </patternFill>
    </fill>
    <fill>
      <patternFill patternType="solid">
        <fgColor rgb="FFF0FFC7"/>
        <bgColor indexed="64"/>
      </patternFill>
    </fill>
    <fill>
      <patternFill patternType="solid">
        <fgColor rgb="FFC0E6F5"/>
        <bgColor rgb="FF000000"/>
      </patternFill>
    </fill>
    <fill>
      <patternFill patternType="solid">
        <fgColor rgb="FFB500FF"/>
        <bgColor indexed="64"/>
      </patternFill>
    </fill>
    <fill>
      <patternFill patternType="solid">
        <fgColor theme="7" tint="0.7999816888943144"/>
        <bgColor indexed="64"/>
      </patternFill>
    </fill>
    <fill>
      <patternFill patternType="solid">
        <fgColor theme="8" tint="0.7999816888943144"/>
        <bgColor indexed="64"/>
      </patternFill>
    </fill>
    <fill>
      <patternFill patternType="solid">
        <fgColor rgb="FF00FFFF"/>
        <bgColor rgb="FF000000"/>
      </patternFill>
    </fill>
    <fill>
      <patternFill patternType="solid">
        <fgColor rgb="FFB500FF"/>
        <bgColor rgb="FF000000"/>
      </patternFill>
    </fill>
    <fill>
      <patternFill patternType="solid">
        <fgColor rgb="FFCAEDFB"/>
        <bgColor rgb="FF000000"/>
      </patternFill>
    </fill>
    <fill>
      <patternFill patternType="solid">
        <fgColor rgb="FFFFFF00"/>
        <bgColor rgb="FFFFFF00"/>
      </patternFill>
    </fill>
    <fill>
      <patternFill patternType="solid">
        <fgColor rgb="FF0070C0"/>
        <bgColor indexed="64"/>
      </patternFill>
    </fill>
    <fill>
      <patternFill patternType="solid">
        <fgColor rgb="FFFF0000"/>
        <bgColor indexed="64"/>
      </patternFill>
    </fill>
    <fill>
      <patternFill patternType="solid">
        <fgColor rgb="FF92D050"/>
        <bgColor indexed="64"/>
      </patternFill>
    </fill>
    <fill>
      <patternFill patternType="solid">
        <fgColor rgb="FF7030A0"/>
        <bgColor indexed="64"/>
      </patternFill>
    </fill>
    <fill>
      <patternFill patternType="solid">
        <fgColor rgb="FF92D050"/>
        <bgColor rgb="FFFFFF00"/>
      </patternFill>
    </fill>
    <fill>
      <patternFill patternType="solid">
        <fgColor rgb="FFFF0000"/>
        <bgColor rgb="FFFFFF00"/>
      </patternFill>
    </fill>
    <fill>
      <patternFill patternType="solid">
        <fgColor rgb="FFFFFF00"/>
        <bgColor rgb="FF000000"/>
      </patternFill>
    </fill>
  </fills>
  <borders count="33">
    <border>
      <left/>
      <right/>
      <top/>
      <bottom/>
      <diagonal/>
    </border>
    <border>
      <left style="medium">
        <color rgb="FFFFFFFF"/>
      </left>
      <right style="medium">
        <color rgb="FFFFFFFF"/>
      </right>
      <top style="medium">
        <color rgb="FFFFFFFF"/>
      </top>
      <bottom style="thick">
        <color rgb="FFFFFFFF"/>
      </bottom>
      <diagonal/>
    </border>
    <border>
      <left style="medium">
        <color rgb="FFFFFFFF"/>
      </left>
      <right style="medium">
        <color rgb="FFFFFFFF"/>
      </right>
      <top style="thick">
        <color rgb="FFFFFFFF"/>
      </top>
      <bottom style="medium">
        <color rgb="FFFFFFFF"/>
      </bottom>
      <diagonal/>
    </border>
    <border>
      <left style="thin">
        <color indexed="64"/>
      </left>
      <right style="thin">
        <color indexed="64"/>
      </right>
      <top style="thin">
        <color indexed="64"/>
      </top>
      <bottom style="thin">
        <color indexed="64"/>
      </bottom>
      <diagonal/>
    </border>
    <border>
      <left/>
      <right/>
      <top style="medium">
        <color rgb="FFFFFFFF"/>
      </top>
      <bottom style="thick">
        <color rgb="FFFFFFFF"/>
      </bottom>
      <diagonal/>
    </border>
    <border>
      <left/>
      <right style="medium">
        <color rgb="FFFFFFFF"/>
      </right>
      <top style="medium">
        <color rgb="FFFFFFFF"/>
      </top>
      <bottom style="thick">
        <color rgb="FFFFFFFF"/>
      </bottom>
      <diagonal/>
    </border>
    <border>
      <left/>
      <right/>
      <top/>
      <bottom style="thick">
        <color rgb="FFFFFFFF"/>
      </bottom>
      <diagonal/>
    </border>
    <border>
      <left style="thin">
        <color theme="0" tint="-0.3499862666707358"/>
      </left>
      <right style="thin">
        <color theme="0" tint="-0.3499862666707358"/>
      </right>
      <top style="thin">
        <color theme="0" tint="-0.3499862666707358"/>
      </top>
      <bottom style="thin">
        <color theme="0" tint="-0.3499862666707358"/>
      </bottom>
      <diagonal/>
    </border>
    <border>
      <left style="thin">
        <color theme="0" tint="-0.3499862666707358"/>
      </left>
      <right style="thin">
        <color theme="0" tint="-0.3499862666707358"/>
      </right>
      <top style="thick">
        <color rgb="FFFFFFFF"/>
      </top>
      <bottom/>
      <diagonal/>
    </border>
    <border>
      <left style="thin">
        <color theme="0" tint="-0.3499862666707358"/>
      </left>
      <right style="thin">
        <color theme="0" tint="-0.3499862666707358"/>
      </right>
      <top/>
      <bottom/>
      <diagonal/>
    </border>
    <border>
      <left style="thin">
        <color theme="0" tint="-0.3499862666707358"/>
      </left>
      <right style="thin">
        <color theme="0" tint="-0.3499862666707358"/>
      </right>
      <top/>
      <bottom style="thin">
        <color theme="0" tint="-0.3499862666707358"/>
      </bottom>
      <diagonal/>
    </border>
    <border>
      <left style="medium">
        <color theme="0"/>
      </left>
      <right style="medium">
        <color theme="0"/>
      </right>
      <top style="medium">
        <color theme="0"/>
      </top>
      <bottom style="medium">
        <color theme="0"/>
      </bottom>
      <diagonal/>
    </border>
    <border>
      <left style="medium">
        <color rgb="FFFFFFFF"/>
      </left>
      <right/>
      <top style="thick">
        <color rgb="FFFFFFFF"/>
      </top>
      <bottom style="medium">
        <color rgb="FFFFFFFF"/>
      </bottom>
      <diagonal/>
    </border>
    <border>
      <left/>
      <right/>
      <top/>
      <bottom style="medium">
        <color theme="0"/>
      </bottom>
      <diagonal/>
    </border>
    <border>
      <left/>
      <right/>
      <top style="thin">
        <color theme="0"/>
      </top>
      <bottom style="thin">
        <color theme="0"/>
      </bottom>
      <diagonal/>
    </border>
    <border>
      <left/>
      <right style="thin">
        <color theme="0"/>
      </right>
      <top style="thin">
        <color theme="0"/>
      </top>
      <bottom style="thin">
        <color theme="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style="thin">
        <color rgb="FF000000"/>
      </right>
      <top/>
      <bottom/>
      <diagonal/>
    </border>
    <border>
      <left/>
      <right/>
      <top style="thin">
        <color rgb="FFFFFFFF"/>
      </top>
      <bottom style="thin">
        <color rgb="FFFFFFFF"/>
      </bottom>
      <diagonal/>
    </border>
    <border>
      <left/>
      <right style="thin">
        <color rgb="FFFFFFFF"/>
      </right>
      <top style="thin">
        <color rgb="FFFFFFFF"/>
      </top>
      <bottom style="thin">
        <color rgb="FFFFFFFF"/>
      </bottom>
      <diagonal/>
    </border>
    <border>
      <left style="thin">
        <color theme="0"/>
      </left>
      <right/>
      <top/>
      <bottom/>
      <diagonal/>
    </border>
    <border>
      <left style="thin">
        <color theme="0"/>
      </left>
      <right style="thin">
        <color theme="0"/>
      </right>
      <top style="thin">
        <color theme="0"/>
      </top>
      <bottom style="thin">
        <color theme="0"/>
      </bottom>
      <diagonal/>
    </border>
    <border>
      <left style="thin">
        <color rgb="FFFFFFFF"/>
      </left>
      <right style="thin">
        <color rgb="FFFFFFFF"/>
      </right>
      <top style="thin">
        <color rgb="FFFFFFFF"/>
      </top>
      <bottom style="thin">
        <color rgb="FFFFFFFF"/>
      </bottom>
      <diagonal/>
    </border>
    <border>
      <left style="thin">
        <color theme="0" tint="-0.3499862666707358"/>
      </left>
      <right/>
      <top/>
      <bottom/>
      <diagonal/>
    </border>
    <border>
      <left/>
      <right/>
      <top style="medium">
        <color rgb="FFFFFFFF"/>
      </top>
      <bottom/>
      <diagonal/>
    </border>
    <border>
      <left/>
      <right style="medium">
        <color rgb="FFFFFFFF"/>
      </right>
      <top style="medium">
        <color rgb="FFFFFFFF"/>
      </top>
      <bottom/>
      <diagonal/>
    </border>
    <border>
      <left style="thin">
        <color rgb="FF000000"/>
      </left>
      <right/>
      <top/>
      <bottom/>
      <diagonal/>
    </border>
    <border>
      <left/>
      <right/>
      <top style="thin">
        <color theme="0"/>
      </top>
      <bottom/>
      <diagonal/>
    </border>
    <border>
      <left/>
      <right style="thin">
        <color theme="0"/>
      </right>
      <top style="thin">
        <color theme="0"/>
      </top>
      <bottom/>
      <diagonal/>
    </border>
    <border>
      <left/>
      <right/>
      <top style="thin">
        <color rgb="FFFFFFFF"/>
      </top>
      <bottom/>
      <diagonal/>
    </border>
    <border>
      <left/>
      <right style="thin">
        <color rgb="FFFFFFFF"/>
      </right>
      <top style="thin">
        <color rgb="FFFFFFFF"/>
      </top>
      <bottom/>
      <diagonal/>
    </border>
  </borders>
  <cellStyleXfs count="2">
    <xf numFmtId="0" fontId="0" fillId="0" borderId="0"/>
    <xf numFmtId="0" fontId="8" fillId="0" borderId="0"/>
  </cellStyleXfs>
  <cellXfs count="165">
    <xf numFmtId="0" fontId="0" fillId="0" borderId="0" pivotButton="0" quotePrefix="0" xfId="0"/>
    <xf numFmtId="0" fontId="0" fillId="0" borderId="0" applyAlignment="1" pivotButton="0" quotePrefix="0" xfId="0">
      <alignment wrapText="1"/>
    </xf>
    <xf numFmtId="0" fontId="3" fillId="0" borderId="3" applyAlignment="1" pivotButton="0" quotePrefix="0" xfId="0">
      <alignment wrapText="1"/>
    </xf>
    <xf numFmtId="0" fontId="4" fillId="3" borderId="2" applyAlignment="1" pivotButton="0" quotePrefix="0" xfId="0">
      <alignment horizontal="center" vertical="center" wrapText="1"/>
    </xf>
    <xf numFmtId="0" fontId="6" fillId="2" borderId="1" applyAlignment="1" pivotButton="0" quotePrefix="0" xfId="0">
      <alignment horizontal="center" vertical="center" wrapText="1" readingOrder="1"/>
    </xf>
    <xf numFmtId="0" fontId="0" fillId="4" borderId="0" applyAlignment="1" pivotButton="0" quotePrefix="0" xfId="0">
      <alignment wrapText="1"/>
    </xf>
    <xf numFmtId="0" fontId="0" fillId="4" borderId="0" pivotButton="0" quotePrefix="0" xfId="0"/>
    <xf numFmtId="0" fontId="6" fillId="2" borderId="4" applyAlignment="1" pivotButton="0" quotePrefix="0" xfId="0">
      <alignment vertical="center" wrapText="1" readingOrder="1"/>
    </xf>
    <xf numFmtId="0" fontId="8" fillId="4" borderId="0" pivotButton="0" quotePrefix="0" xfId="0"/>
    <xf numFmtId="0" fontId="8" fillId="0" borderId="0" pivotButton="0" quotePrefix="0" xfId="0"/>
    <xf numFmtId="0" fontId="7" fillId="3" borderId="2" applyAlignment="1" pivotButton="0" quotePrefix="0" xfId="0">
      <alignment horizontal="center" vertical="center" wrapText="1"/>
    </xf>
    <xf numFmtId="0" fontId="1" fillId="4" borderId="0" pivotButton="0" quotePrefix="0" xfId="0"/>
    <xf numFmtId="0" fontId="1" fillId="0" borderId="0" pivotButton="0" quotePrefix="0" xfId="0"/>
    <xf numFmtId="0" fontId="0" fillId="4" borderId="0" applyAlignment="1" pivotButton="0" quotePrefix="0" xfId="0">
      <alignment horizontal="left" vertical="center"/>
    </xf>
    <xf numFmtId="0" fontId="0" fillId="4" borderId="0" applyAlignment="1" pivotButton="0" quotePrefix="0" xfId="0">
      <alignment horizontal="left" vertical="center" wrapText="1"/>
    </xf>
    <xf numFmtId="0" fontId="8" fillId="4" borderId="0" applyAlignment="1" pivotButton="0" quotePrefix="0" xfId="0">
      <alignment horizontal="left" vertical="center"/>
    </xf>
    <xf numFmtId="0" fontId="1" fillId="4" borderId="0" applyAlignment="1" pivotButton="0" quotePrefix="0" xfId="0">
      <alignment horizontal="left" vertical="center"/>
    </xf>
    <xf numFmtId="0" fontId="9" fillId="4" borderId="0" applyAlignment="1" pivotButton="0" quotePrefix="0" xfId="0">
      <alignment wrapText="1"/>
    </xf>
    <xf numFmtId="0" fontId="9" fillId="4" borderId="7" applyAlignment="1" pivotButton="0" quotePrefix="0" xfId="0">
      <alignment vertical="center" wrapText="1"/>
    </xf>
    <xf numFmtId="0" fontId="6" fillId="7" borderId="1" applyAlignment="1" pivotButton="0" quotePrefix="0" xfId="0">
      <alignment horizontal="center" vertical="center" wrapText="1" readingOrder="1"/>
    </xf>
    <xf numFmtId="0" fontId="6" fillId="8" borderId="1" applyAlignment="1" pivotButton="0" quotePrefix="0" xfId="0">
      <alignment horizontal="center" vertical="center" wrapText="1" readingOrder="1"/>
    </xf>
    <xf numFmtId="0" fontId="10" fillId="7" borderId="6" applyAlignment="1" pivotButton="0" quotePrefix="0" xfId="0">
      <alignment vertical="center" wrapText="1" readingOrder="1"/>
    </xf>
    <xf numFmtId="0" fontId="2" fillId="7" borderId="6" applyAlignment="1" pivotButton="0" quotePrefix="0" xfId="0">
      <alignment vertical="center" wrapText="1" readingOrder="1"/>
    </xf>
    <xf numFmtId="0" fontId="0" fillId="0" borderId="0" applyAlignment="1" pivotButton="0" quotePrefix="0" xfId="0">
      <alignment horizontal="center"/>
    </xf>
    <xf numFmtId="0" fontId="9" fillId="4" borderId="0" applyAlignment="1" pivotButton="0" quotePrefix="0" xfId="0">
      <alignment horizontal="center" wrapText="1"/>
    </xf>
    <xf numFmtId="0" fontId="0" fillId="4" borderId="0" applyAlignment="1" pivotButton="0" quotePrefix="0" xfId="0">
      <alignment horizontal="center"/>
    </xf>
    <xf numFmtId="0" fontId="9" fillId="4" borderId="0" applyAlignment="1" pivotButton="0" quotePrefix="0" xfId="0">
      <alignment horizontal="center" vertical="center" wrapText="1"/>
    </xf>
    <xf numFmtId="0" fontId="7" fillId="3" borderId="12" applyAlignment="1" pivotButton="0" quotePrefix="0" xfId="0">
      <alignment horizontal="center" vertical="center" wrapText="1"/>
    </xf>
    <xf numFmtId="0" fontId="9" fillId="4" borderId="11" applyAlignment="1" pivotButton="0" quotePrefix="0" xfId="0">
      <alignment horizontal="center" vertical="center" wrapText="1"/>
    </xf>
    <xf numFmtId="0" fontId="11" fillId="4" borderId="11" applyAlignment="1" pivotButton="0" quotePrefix="0" xfId="0">
      <alignment horizontal="center" vertical="center" wrapText="1"/>
    </xf>
    <xf numFmtId="0" fontId="1" fillId="0" borderId="0" applyAlignment="1" pivotButton="0" quotePrefix="0" xfId="0">
      <alignment wrapText="1"/>
    </xf>
    <xf numFmtId="0" fontId="1" fillId="6" borderId="0" applyAlignment="1" pivotButton="0" quotePrefix="0" xfId="0">
      <alignment wrapText="1"/>
    </xf>
    <xf numFmtId="0" fontId="12" fillId="9" borderId="0" applyAlignment="1" pivotButton="0" quotePrefix="0" xfId="0">
      <alignment wrapText="1"/>
    </xf>
    <xf numFmtId="0" fontId="8" fillId="0" borderId="0" applyAlignment="1" pivotButton="0" quotePrefix="0" xfId="1">
      <alignment wrapText="1"/>
    </xf>
    <xf numFmtId="0" fontId="8" fillId="0" borderId="0" applyAlignment="1" pivotButton="0" quotePrefix="0" xfId="1">
      <alignment horizontal="left" vertical="top"/>
    </xf>
    <xf numFmtId="0" fontId="14" fillId="0" borderId="0" applyAlignment="1" pivotButton="0" quotePrefix="0" xfId="1">
      <alignment horizontal="left" vertical="top"/>
    </xf>
    <xf numFmtId="0" fontId="8" fillId="10" borderId="0" applyAlignment="1" pivotButton="0" quotePrefix="0" xfId="1">
      <alignment horizontal="left" vertical="top"/>
    </xf>
    <xf numFmtId="0" fontId="15" fillId="0" borderId="0" applyAlignment="1" pivotButton="0" quotePrefix="0" xfId="1">
      <alignment horizontal="left" vertical="top"/>
    </xf>
    <xf numFmtId="0" fontId="8" fillId="0" borderId="0" applyAlignment="1" pivotButton="0" quotePrefix="0" xfId="1">
      <alignment horizontal="left" vertical="top" wrapText="1"/>
    </xf>
    <xf numFmtId="0" fontId="14" fillId="0" borderId="0" applyAlignment="1" pivotButton="0" quotePrefix="0" xfId="1">
      <alignment horizontal="left" vertical="top" wrapText="1"/>
    </xf>
    <xf numFmtId="0" fontId="16" fillId="0" borderId="0" applyAlignment="1" pivotButton="0" quotePrefix="0" xfId="1">
      <alignment horizontal="left" vertical="top" wrapText="1"/>
    </xf>
    <xf numFmtId="0" fontId="8" fillId="10" borderId="0" applyAlignment="1" pivotButton="0" quotePrefix="0" xfId="1">
      <alignment horizontal="left" vertical="top" wrapText="1"/>
    </xf>
    <xf numFmtId="0" fontId="15" fillId="0" borderId="0" applyAlignment="1" pivotButton="0" quotePrefix="0" xfId="1">
      <alignment horizontal="left" vertical="top" wrapText="1"/>
    </xf>
    <xf numFmtId="0" fontId="8" fillId="0" borderId="0" applyAlignment="1" pivotButton="0" quotePrefix="1" xfId="1">
      <alignment horizontal="left" vertical="top" wrapText="1"/>
    </xf>
    <xf numFmtId="0" fontId="8" fillId="10" borderId="0" applyAlignment="1" pivotButton="0" quotePrefix="1" xfId="1">
      <alignment horizontal="left" vertical="top" wrapText="1"/>
    </xf>
    <xf numFmtId="0" fontId="15" fillId="0" borderId="0" applyAlignment="1" pivotButton="0" quotePrefix="1" xfId="1">
      <alignment horizontal="left" vertical="top" wrapText="1"/>
    </xf>
    <xf numFmtId="0" fontId="17" fillId="0" borderId="16" applyAlignment="1" pivotButton="0" quotePrefix="0" xfId="0">
      <alignment horizontal="center" vertical="center"/>
    </xf>
    <xf numFmtId="0" fontId="17" fillId="0" borderId="16" applyAlignment="1" pivotButton="0" quotePrefix="0" xfId="0">
      <alignment vertical="center"/>
    </xf>
    <xf numFmtId="0" fontId="17" fillId="0" borderId="16" pivotButton="0" quotePrefix="0" xfId="0"/>
    <xf numFmtId="0" fontId="18" fillId="11" borderId="17" applyAlignment="1" pivotButton="0" quotePrefix="0" xfId="0">
      <alignment horizontal="center" vertical="center" wrapText="1"/>
    </xf>
    <xf numFmtId="0" fontId="18" fillId="11" borderId="18" applyAlignment="1" pivotButton="0" quotePrefix="0" xfId="0">
      <alignment horizontal="center" vertical="center" wrapText="1"/>
    </xf>
    <xf numFmtId="0" fontId="17" fillId="0" borderId="17" applyAlignment="1" pivotButton="0" quotePrefix="0" xfId="0">
      <alignment wrapText="1"/>
    </xf>
    <xf numFmtId="0" fontId="17" fillId="0" borderId="18" applyAlignment="1" pivotButton="0" quotePrefix="0" xfId="0">
      <alignment wrapText="1"/>
    </xf>
    <xf numFmtId="0" fontId="0" fillId="0" borderId="16" applyAlignment="1" pivotButton="0" quotePrefix="0" xfId="0">
      <alignment horizontal="center" vertical="center"/>
    </xf>
    <xf numFmtId="0" fontId="0" fillId="0" borderId="16" applyAlignment="1" pivotButton="0" quotePrefix="0" xfId="0">
      <alignment vertical="center"/>
    </xf>
    <xf numFmtId="0" fontId="17" fillId="0" borderId="16" applyAlignment="1" pivotButton="0" quotePrefix="0" xfId="0">
      <alignment wrapText="1"/>
    </xf>
    <xf numFmtId="0" fontId="0" fillId="0" borderId="16" pivotButton="0" quotePrefix="0" xfId="0"/>
    <xf numFmtId="0" fontId="17" fillId="0" borderId="19" applyAlignment="1" pivotButton="0" quotePrefix="0" xfId="0">
      <alignment wrapText="1"/>
    </xf>
    <xf numFmtId="0" fontId="18" fillId="0" borderId="19" applyAlignment="1" pivotButton="0" quotePrefix="0" xfId="0">
      <alignment wrapText="1"/>
    </xf>
    <xf numFmtId="0" fontId="0" fillId="0" borderId="0" applyAlignment="1" pivotButton="0" quotePrefix="0" xfId="0">
      <alignment horizontal="left" vertical="top" wrapText="1"/>
    </xf>
    <xf numFmtId="0" fontId="17" fillId="0" borderId="17" applyAlignment="1" pivotButton="0" quotePrefix="0" xfId="0">
      <alignment horizontal="left" vertical="top" wrapText="1"/>
    </xf>
    <xf numFmtId="0" fontId="17" fillId="0" borderId="19" applyAlignment="1" pivotButton="0" quotePrefix="0" xfId="0">
      <alignment horizontal="left" vertical="top" wrapText="1"/>
    </xf>
    <xf numFmtId="0" fontId="17" fillId="0" borderId="18" applyAlignment="1" pivotButton="0" quotePrefix="0" xfId="0">
      <alignment horizontal="left" vertical="top" wrapText="1"/>
    </xf>
    <xf numFmtId="0" fontId="17" fillId="0" borderId="16" applyAlignment="1" pivotButton="0" quotePrefix="0" xfId="0">
      <alignment horizontal="left" vertical="top" wrapText="1"/>
    </xf>
    <xf numFmtId="0" fontId="18" fillId="0" borderId="19" applyAlignment="1" pivotButton="0" quotePrefix="0" xfId="0">
      <alignment horizontal="left" vertical="top" wrapText="1"/>
    </xf>
    <xf numFmtId="0" fontId="0" fillId="0" borderId="19" applyAlignment="1" pivotButton="0" quotePrefix="0" xfId="0">
      <alignment horizontal="left" vertical="top" wrapText="1"/>
    </xf>
    <xf numFmtId="0" fontId="12" fillId="12" borderId="0" applyAlignment="1" pivotButton="0" quotePrefix="0" xfId="0">
      <alignment wrapText="1"/>
    </xf>
    <xf numFmtId="0" fontId="8" fillId="13" borderId="0" applyAlignment="1" pivotButton="0" quotePrefix="0" xfId="1">
      <alignment wrapText="1"/>
    </xf>
    <xf numFmtId="0" fontId="0" fillId="13" borderId="0" pivotButton="0" quotePrefix="0" xfId="0"/>
    <xf numFmtId="0" fontId="13" fillId="14" borderId="0" applyAlignment="1" pivotButton="0" quotePrefix="0" xfId="0">
      <alignment horizontal="left" vertical="center" wrapText="1"/>
    </xf>
    <xf numFmtId="0" fontId="0" fillId="0" borderId="0" applyAlignment="1" pivotButton="0" quotePrefix="0" xfId="0">
      <alignment horizontal="left" vertical="top"/>
    </xf>
    <xf numFmtId="0" fontId="1" fillId="0" borderId="0" applyAlignment="1" pivotButton="0" quotePrefix="0" xfId="0">
      <alignment horizontal="left" vertical="top" wrapText="1"/>
    </xf>
    <xf numFmtId="0" fontId="0" fillId="13" borderId="0" applyAlignment="1" pivotButton="0" quotePrefix="0" xfId="0">
      <alignment horizontal="left" vertical="top"/>
    </xf>
    <xf numFmtId="0" fontId="0" fillId="5" borderId="0" applyAlignment="1" pivotButton="0" quotePrefix="0" xfId="0">
      <alignment horizontal="left" vertical="top"/>
    </xf>
    <xf numFmtId="0" fontId="8" fillId="0" borderId="0" applyAlignment="1" pivotButton="0" quotePrefix="0" xfId="1">
      <alignment horizontal="left" wrapText="1"/>
    </xf>
    <xf numFmtId="0" fontId="8" fillId="13" borderId="0" applyAlignment="1" pivotButton="0" quotePrefix="0" xfId="1">
      <alignment horizontal="left" wrapText="1"/>
    </xf>
    <xf numFmtId="0" fontId="0" fillId="0" borderId="0" applyAlignment="1" pivotButton="0" quotePrefix="0" xfId="0">
      <alignment horizontal="left" wrapText="1"/>
    </xf>
    <xf numFmtId="0" fontId="0" fillId="0" borderId="0" applyAlignment="1" pivotButton="0" quotePrefix="0" xfId="0">
      <alignment horizontal="left"/>
    </xf>
    <xf numFmtId="0" fontId="12" fillId="19" borderId="0" applyAlignment="1" pivotButton="0" quotePrefix="0" xfId="0">
      <alignment wrapText="1"/>
    </xf>
    <xf numFmtId="0" fontId="19" fillId="19" borderId="0" applyAlignment="1" pivotButton="0" quotePrefix="0" xfId="0">
      <alignment wrapText="1"/>
    </xf>
    <xf numFmtId="0" fontId="20" fillId="20" borderId="0" applyAlignment="1" pivotButton="0" quotePrefix="0" xfId="0">
      <alignment wrapText="1"/>
    </xf>
    <xf numFmtId="0" fontId="26" fillId="19" borderId="0" applyAlignment="1" pivotButton="0" quotePrefix="0" xfId="0">
      <alignment wrapText="1"/>
    </xf>
    <xf numFmtId="0" fontId="26" fillId="12" borderId="0" applyAlignment="1" pivotButton="0" quotePrefix="0" xfId="0">
      <alignment wrapText="1"/>
    </xf>
    <xf numFmtId="0" fontId="12" fillId="22" borderId="0" applyAlignment="1" pivotButton="0" quotePrefix="0" xfId="0">
      <alignment wrapText="1"/>
    </xf>
    <xf numFmtId="0" fontId="0" fillId="5" borderId="0" applyAlignment="1" pivotButton="0" quotePrefix="0" xfId="0">
      <alignment wrapText="1"/>
    </xf>
    <xf numFmtId="0" fontId="0" fillId="5" borderId="0" pivotButton="0" quotePrefix="0" xfId="0"/>
    <xf numFmtId="0" fontId="12" fillId="22" borderId="22" applyAlignment="1" pivotButton="0" quotePrefix="0" xfId="0">
      <alignment horizontal="center"/>
    </xf>
    <xf numFmtId="0" fontId="12" fillId="9" borderId="23" applyAlignment="1" pivotButton="0" quotePrefix="0" xfId="0">
      <alignment horizontal="center"/>
    </xf>
    <xf numFmtId="0" fontId="0" fillId="0" borderId="14" pivotButton="0" quotePrefix="0" xfId="0"/>
    <xf numFmtId="0" fontId="0" fillId="0" borderId="15" pivotButton="0" quotePrefix="0" xfId="0"/>
    <xf numFmtId="0" fontId="5" fillId="2" borderId="7" applyAlignment="1" pivotButton="0" quotePrefix="0" xfId="0">
      <alignment horizontal="center" vertical="center" textRotation="90" wrapText="1"/>
    </xf>
    <xf numFmtId="0" fontId="0" fillId="0" borderId="9" pivotButton="0" quotePrefix="0" xfId="0"/>
    <xf numFmtId="0" fontId="0" fillId="0" borderId="10" pivotButton="0" quotePrefix="0" xfId="0"/>
    <xf numFmtId="0" fontId="9" fillId="6" borderId="8" applyAlignment="1" pivotButton="0" quotePrefix="0" xfId="0">
      <alignment horizontal="center" vertical="center" textRotation="90" wrapText="1"/>
    </xf>
    <xf numFmtId="0" fontId="6" fillId="8" borderId="1" applyAlignment="1" pivotButton="0" quotePrefix="0" xfId="0">
      <alignment horizontal="center" vertical="center" wrapText="1" readingOrder="1"/>
    </xf>
    <xf numFmtId="0" fontId="0" fillId="0" borderId="4" pivotButton="0" quotePrefix="0" xfId="0"/>
    <xf numFmtId="0" fontId="0" fillId="0" borderId="5" pivotButton="0" quotePrefix="0" xfId="0"/>
    <xf numFmtId="0" fontId="6" fillId="7" borderId="1" applyAlignment="1" pivotButton="0" quotePrefix="0" xfId="0">
      <alignment horizontal="center" vertical="center" wrapText="1" readingOrder="1"/>
    </xf>
    <xf numFmtId="0" fontId="6" fillId="8" borderId="6" applyAlignment="1" pivotButton="0" quotePrefix="0" xfId="0">
      <alignment horizontal="center" vertical="center" wrapText="1" readingOrder="1"/>
    </xf>
    <xf numFmtId="0" fontId="0" fillId="0" borderId="6" pivotButton="0" quotePrefix="0" xfId="0"/>
    <xf numFmtId="0" fontId="6" fillId="7" borderId="13" applyAlignment="1" pivotButton="0" quotePrefix="0" xfId="0">
      <alignment horizontal="center" vertical="center" wrapText="1" readingOrder="1"/>
    </xf>
    <xf numFmtId="0" fontId="0" fillId="0" borderId="13" pivotButton="0" quotePrefix="0" xfId="0"/>
    <xf numFmtId="0" fontId="17" fillId="0" borderId="16" applyAlignment="1" pivotButton="0" quotePrefix="0" xfId="0">
      <alignment horizontal="center" vertical="center"/>
    </xf>
    <xf numFmtId="0" fontId="0" fillId="0" borderId="19" pivotButton="0" quotePrefix="0" xfId="0"/>
    <xf numFmtId="0" fontId="0" fillId="0" borderId="18" pivotButton="0" quotePrefix="0" xfId="0"/>
    <xf numFmtId="0" fontId="17" fillId="0" borderId="16" applyAlignment="1" pivotButton="0" quotePrefix="0" xfId="0">
      <alignment vertical="center"/>
    </xf>
    <xf numFmtId="0" fontId="17" fillId="0" borderId="16" pivotButton="0" quotePrefix="0" xfId="0"/>
    <xf numFmtId="0" fontId="18" fillId="11" borderId="16" applyAlignment="1" pivotButton="0" quotePrefix="0" xfId="0">
      <alignment horizontal="center" vertical="center" wrapText="1"/>
    </xf>
    <xf numFmtId="0" fontId="17" fillId="0" borderId="16" applyAlignment="1" pivotButton="0" quotePrefix="0" xfId="0">
      <alignment wrapText="1"/>
    </xf>
    <xf numFmtId="0" fontId="18" fillId="11" borderId="16" applyAlignment="1" pivotButton="0" quotePrefix="0" xfId="0">
      <alignment horizontal="center" vertical="center"/>
    </xf>
    <xf numFmtId="0" fontId="1" fillId="14" borderId="0" applyAlignment="1" pivotButton="0" quotePrefix="0" xfId="0">
      <alignment horizontal="left" vertical="center" wrapText="1"/>
    </xf>
    <xf numFmtId="0" fontId="1" fillId="0" borderId="0" applyAlignment="1" pivotButton="0" quotePrefix="0" xfId="0">
      <alignment wrapText="1"/>
    </xf>
    <xf numFmtId="0" fontId="0" fillId="0" borderId="0" applyAlignment="1" pivotButton="0" quotePrefix="0" xfId="0">
      <alignment wrapText="1"/>
    </xf>
    <xf numFmtId="0" fontId="0" fillId="0" borderId="0" pivotButton="0" quotePrefix="0" xfId="0"/>
    <xf numFmtId="0" fontId="12" fillId="22" borderId="0" applyAlignment="1" pivotButton="0" quotePrefix="0" xfId="0">
      <alignment horizontal="center" vertical="center" wrapText="1"/>
    </xf>
    <xf numFmtId="0" fontId="1" fillId="6" borderId="23" applyAlignment="1" pivotButton="0" quotePrefix="0" xfId="0">
      <alignment horizontal="center"/>
    </xf>
    <xf numFmtId="0" fontId="8" fillId="0" borderId="0" applyAlignment="1" pivotButton="0" quotePrefix="0" xfId="1">
      <alignment horizontal="center" vertical="top"/>
    </xf>
    <xf numFmtId="0" fontId="8" fillId="0" borderId="0" applyAlignment="1" pivotButton="0" quotePrefix="0" xfId="1">
      <alignment horizontal="left" vertical="top" wrapText="1"/>
    </xf>
    <xf numFmtId="0" fontId="14" fillId="0" borderId="0" applyAlignment="1" pivotButton="0" quotePrefix="0" xfId="1">
      <alignment horizontal="center" vertical="top"/>
    </xf>
    <xf numFmtId="0" fontId="14" fillId="0" borderId="0" applyAlignment="1" pivotButton="0" quotePrefix="0" xfId="1">
      <alignment horizontal="left" vertical="top"/>
    </xf>
    <xf numFmtId="0" fontId="8" fillId="10" borderId="0" applyAlignment="1" pivotButton="0" quotePrefix="0" xfId="1">
      <alignment horizontal="center" vertical="top" wrapText="1"/>
    </xf>
    <xf numFmtId="0" fontId="21" fillId="0" borderId="0" applyAlignment="1" pivotButton="0" quotePrefix="0" xfId="0">
      <alignment vertical="top" wrapText="1"/>
    </xf>
    <xf numFmtId="0" fontId="23" fillId="0" borderId="0" applyAlignment="1" pivotButton="0" quotePrefix="0" xfId="0">
      <alignment vertical="top" wrapText="1"/>
    </xf>
    <xf numFmtId="0" fontId="22" fillId="15" borderId="24" applyAlignment="1" pivotButton="0" quotePrefix="0" xfId="0">
      <alignment vertical="top" wrapText="1"/>
    </xf>
    <xf numFmtId="0" fontId="0" fillId="0" borderId="20" applyAlignment="1" pivotButton="0" quotePrefix="0" xfId="0">
      <alignment vertical="top" wrapText="1"/>
    </xf>
    <xf numFmtId="0" fontId="0" fillId="0" borderId="21" applyAlignment="1" pivotButton="0" quotePrefix="0" xfId="0">
      <alignment vertical="top" wrapText="1"/>
    </xf>
    <xf numFmtId="0" fontId="22" fillId="16" borderId="20" applyAlignment="1" pivotButton="0" quotePrefix="0" xfId="0">
      <alignment vertical="top" wrapText="1"/>
    </xf>
    <xf numFmtId="0" fontId="12" fillId="9" borderId="23" applyAlignment="1" pivotButton="0" quotePrefix="0" xfId="0">
      <alignment vertical="top" wrapText="1"/>
    </xf>
    <xf numFmtId="0" fontId="0" fillId="0" borderId="14" applyAlignment="1" pivotButton="0" quotePrefix="0" xfId="0">
      <alignment vertical="top" wrapText="1"/>
    </xf>
    <xf numFmtId="0" fontId="0" fillId="0" borderId="15" applyAlignment="1" pivotButton="0" quotePrefix="0" xfId="0">
      <alignment vertical="top" wrapText="1"/>
    </xf>
    <xf numFmtId="0" fontId="12" fillId="22" borderId="22" applyAlignment="1" pivotButton="0" quotePrefix="0" xfId="0">
      <alignment vertical="top" wrapText="1"/>
    </xf>
    <xf numFmtId="0" fontId="0" fillId="0" borderId="0" applyAlignment="1" pivotButton="0" quotePrefix="0" xfId="0">
      <alignment vertical="top" wrapText="1"/>
    </xf>
    <xf numFmtId="0" fontId="22" fillId="15" borderId="0" applyAlignment="1" pivotButton="0" quotePrefix="0" xfId="0">
      <alignment vertical="top" wrapText="1"/>
    </xf>
    <xf numFmtId="0" fontId="22" fillId="16" borderId="0" applyAlignment="1" pivotButton="0" quotePrefix="0" xfId="0">
      <alignment vertical="top" wrapText="1"/>
    </xf>
    <xf numFmtId="0" fontId="12" fillId="9" borderId="0" applyAlignment="1" pivotButton="0" quotePrefix="0" xfId="0">
      <alignment vertical="top" wrapText="1"/>
    </xf>
    <xf numFmtId="0" fontId="12" fillId="22" borderId="0" applyAlignment="1" pivotButton="0" quotePrefix="0" xfId="0">
      <alignment vertical="top" wrapText="1"/>
    </xf>
    <xf numFmtId="0" fontId="19" fillId="19" borderId="0" applyAlignment="1" pivotButton="0" quotePrefix="0" xfId="0">
      <alignment vertical="top" wrapText="1"/>
    </xf>
    <xf numFmtId="0" fontId="12" fillId="12" borderId="0" applyAlignment="1" pivotButton="0" quotePrefix="0" xfId="0">
      <alignment vertical="top" wrapText="1"/>
    </xf>
    <xf numFmtId="0" fontId="12" fillId="19" borderId="0" applyAlignment="1" pivotButton="0" quotePrefix="0" xfId="0">
      <alignment vertical="top" wrapText="1"/>
    </xf>
    <xf numFmtId="0" fontId="22" fillId="0" borderId="0" applyAlignment="1" pivotButton="0" quotePrefix="0" xfId="0">
      <alignment vertical="top" wrapText="1"/>
    </xf>
    <xf numFmtId="0" fontId="28" fillId="0" borderId="0" applyAlignment="1" pivotButton="0" quotePrefix="0" xfId="0">
      <alignment vertical="top" wrapText="1"/>
    </xf>
    <xf numFmtId="0" fontId="28" fillId="5" borderId="0" applyAlignment="1" pivotButton="0" quotePrefix="0" xfId="0">
      <alignment vertical="top" wrapText="1"/>
    </xf>
    <xf numFmtId="0" fontId="25" fillId="0" borderId="0" applyAlignment="1" pivotButton="0" quotePrefix="0" xfId="0">
      <alignment vertical="top" wrapText="1"/>
    </xf>
    <xf numFmtId="0" fontId="26" fillId="19" borderId="0" applyAlignment="1" pivotButton="0" quotePrefix="0" xfId="0">
      <alignment vertical="top" wrapText="1"/>
    </xf>
    <xf numFmtId="0" fontId="26" fillId="12" borderId="0" applyAlignment="1" pivotButton="0" quotePrefix="0" xfId="0">
      <alignment vertical="top" wrapText="1"/>
    </xf>
    <xf numFmtId="0" fontId="24" fillId="21" borderId="0" applyAlignment="1" pivotButton="0" quotePrefix="0" xfId="0">
      <alignment vertical="top" wrapText="1"/>
    </xf>
    <xf numFmtId="0" fontId="23" fillId="21" borderId="0" applyAlignment="1" pivotButton="0" quotePrefix="0" xfId="0">
      <alignment vertical="top" wrapText="1"/>
    </xf>
    <xf numFmtId="0" fontId="24" fillId="0" borderId="0" applyAlignment="1" pivotButton="0" quotePrefix="0" xfId="0">
      <alignment vertical="top" wrapText="1"/>
    </xf>
    <xf numFmtId="0" fontId="0" fillId="5" borderId="0" applyAlignment="1" pivotButton="0" quotePrefix="0" xfId="0">
      <alignment vertical="top" wrapText="1"/>
    </xf>
    <xf numFmtId="0" fontId="0" fillId="0" borderId="0" applyAlignment="1" pivotButton="0" quotePrefix="0" xfId="0">
      <alignment vertical="top" wrapText="1"/>
    </xf>
    <xf numFmtId="0" fontId="27" fillId="21" borderId="0" applyAlignment="1" pivotButton="0" quotePrefix="0" xfId="0">
      <alignment vertical="top" wrapText="1"/>
    </xf>
    <xf numFmtId="0" fontId="23" fillId="23" borderId="0" applyAlignment="1" pivotButton="0" quotePrefix="0" xfId="0">
      <alignment vertical="top" wrapText="1"/>
    </xf>
    <xf numFmtId="0" fontId="23" fillId="24" borderId="0" applyAlignment="1" pivotButton="0" quotePrefix="0" xfId="0">
      <alignment vertical="top" wrapText="1"/>
    </xf>
    <xf numFmtId="0" fontId="23" fillId="20" borderId="0" applyAlignment="1" pivotButton="0" quotePrefix="0" xfId="0">
      <alignment vertical="top" wrapText="1"/>
    </xf>
    <xf numFmtId="0" fontId="27" fillId="0" borderId="0" applyAlignment="1" pivotButton="0" quotePrefix="0" xfId="0">
      <alignment vertical="top" wrapText="1"/>
    </xf>
    <xf numFmtId="0" fontId="27" fillId="5" borderId="0" applyAlignment="1" pivotButton="0" quotePrefix="0" xfId="0">
      <alignment vertical="top" wrapText="1"/>
    </xf>
    <xf numFmtId="0" fontId="23" fillId="18" borderId="0" applyAlignment="1" pivotButton="0" quotePrefix="0" xfId="0">
      <alignment vertical="top" wrapText="1"/>
    </xf>
    <xf numFmtId="0" fontId="21" fillId="17" borderId="0" applyAlignment="1" pivotButton="0" quotePrefix="0" xfId="0">
      <alignment vertical="top" wrapText="1"/>
    </xf>
    <xf numFmtId="0" fontId="0" fillId="13" borderId="0" applyAlignment="1" pivotButton="0" quotePrefix="0" xfId="0">
      <alignment vertical="top" wrapText="1"/>
    </xf>
    <xf numFmtId="0" fontId="24" fillId="25" borderId="0" applyAlignment="1" pivotButton="0" quotePrefix="0" xfId="0">
      <alignment vertical="top" wrapText="1"/>
    </xf>
    <xf numFmtId="0" fontId="24" fillId="17" borderId="0" applyAlignment="1" pivotButton="0" quotePrefix="0" xfId="0">
      <alignment vertical="top" wrapText="1"/>
    </xf>
    <xf numFmtId="0" fontId="27" fillId="17" borderId="0" applyAlignment="1" pivotButton="0" quotePrefix="0" xfId="0">
      <alignment vertical="top" wrapText="1"/>
    </xf>
    <xf numFmtId="0" fontId="24" fillId="5" borderId="0" applyAlignment="1" pivotButton="0" quotePrefix="0" xfId="0">
      <alignment vertical="top" wrapText="1"/>
    </xf>
    <xf numFmtId="0" fontId="0" fillId="0" borderId="20" pivotButton="0" quotePrefix="0" xfId="0"/>
    <xf numFmtId="0" fontId="0" fillId="0" borderId="21" pivotButton="0" quotePrefix="0" xfId="0"/>
  </cellXfs>
  <cellStyles count="2">
    <cellStyle name="Normal" xfId="0" builtinId="0"/>
    <cellStyle name="Normal 2" xfId="1"/>
  </cellStyles>
  <dxfs count="5">
    <dxf>
      <fill>
        <patternFill>
          <bgColor rgb="FFE7FFFF"/>
        </patternFill>
      </fill>
    </dxf>
    <dxf>
      <fill>
        <patternFill>
          <bgColor rgb="FF00FFFF"/>
        </patternFill>
      </fill>
    </dxf>
    <dxf>
      <font>
        <color auto="1"/>
      </font>
      <fill>
        <patternFill>
          <bgColor rgb="FFB9FFFF"/>
        </patternFill>
      </fill>
    </dxf>
    <dxf>
      <font>
        <color theme="1"/>
      </font>
      <fill>
        <patternFill>
          <bgColor rgb="FFD9FFFF"/>
        </patternFill>
      </fill>
    </dxf>
    <dxf>
      <font>
        <color auto="1"/>
      </font>
      <fill>
        <patternFill>
          <bgColor rgb="FF00FFFF"/>
        </patternFill>
      </fill>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sheetPr>
    <outlinePr summaryBelow="1" summaryRight="1"/>
    <pageSetUpPr/>
  </sheetPr>
  <dimension ref="B1:G4"/>
  <sheetViews>
    <sheetView workbookViewId="0">
      <selection activeCell="D5" sqref="D5"/>
    </sheetView>
  </sheetViews>
  <sheetFormatPr baseColWidth="10" defaultColWidth="8.83203125" defaultRowHeight="15"/>
  <cols>
    <col width="26.5" customWidth="1" style="113" min="6" max="6"/>
  </cols>
  <sheetData>
    <row r="1">
      <c r="D1" t="inlineStr">
        <is>
          <t>Support coverage</t>
        </is>
      </c>
      <c r="F1" t="inlineStr">
        <is>
          <t>ROI</t>
        </is>
      </c>
    </row>
    <row r="2">
      <c r="B2" t="inlineStr">
        <is>
          <t>High</t>
        </is>
      </c>
      <c r="C2" t="n">
        <v>3</v>
      </c>
      <c r="D2" t="n">
        <v>3</v>
      </c>
      <c r="F2" s="2" t="inlineStr">
        <is>
          <t>&gt;24</t>
        </is>
      </c>
      <c r="G2" t="n">
        <v>1</v>
      </c>
    </row>
    <row r="3">
      <c r="B3" t="inlineStr">
        <is>
          <t>Medium</t>
        </is>
      </c>
      <c r="C3" t="n">
        <v>2</v>
      </c>
      <c r="D3" t="n">
        <v>2</v>
      </c>
      <c r="F3" s="2" t="inlineStr">
        <is>
          <t>&gt;12 &lt;=24</t>
        </is>
      </c>
      <c r="G3" t="n">
        <v>2</v>
      </c>
    </row>
    <row r="4">
      <c r="B4" t="inlineStr">
        <is>
          <t>Low</t>
        </is>
      </c>
      <c r="C4" t="n">
        <v>1</v>
      </c>
      <c r="D4" t="n">
        <v>1</v>
      </c>
      <c r="F4" s="2" t="inlineStr">
        <is>
          <t>&lt;=12</t>
        </is>
      </c>
      <c r="G4" t="n">
        <v>3</v>
      </c>
    </row>
  </sheetData>
  <pageMargins left="0.7" right="0.7" top="0.75" bottom="0.75" header="0.3" footer="0.3"/>
</worksheet>
</file>

<file path=xl/worksheets/sheet2.xml><?xml version="1.0" encoding="utf-8"?>
<worksheet xmlns="http://schemas.openxmlformats.org/spreadsheetml/2006/main">
  <sheetPr>
    <tabColor rgb="FF00B0F0"/>
    <outlinePr summaryBelow="1" summaryRight="1"/>
    <pageSetUpPr/>
  </sheetPr>
  <dimension ref="A1:AO55"/>
  <sheetViews>
    <sheetView zoomScale="85" zoomScaleNormal="85" workbookViewId="0">
      <pane xSplit="2" ySplit="2" topLeftCell="G31" activePane="bottomRight" state="frozen"/>
      <selection pane="topRight" activeCell="C1" sqref="C1"/>
      <selection pane="bottomLeft" activeCell="A3" sqref="A3"/>
      <selection pane="bottomRight" activeCell="G31" sqref="G31"/>
    </sheetView>
  </sheetViews>
  <sheetFormatPr baseColWidth="10" defaultColWidth="8.83203125" defaultRowHeight="15"/>
  <cols>
    <col width="7.5" customWidth="1" style="113" min="1" max="1"/>
    <col width="29.83203125" customWidth="1" style="113" min="2" max="2"/>
    <col width="16.5" customWidth="1" style="113" min="3" max="3"/>
    <col hidden="1" width="10" customWidth="1" style="113" min="4" max="4"/>
    <col width="16.5" customWidth="1" style="113" min="5" max="5"/>
    <col hidden="1" width="7.83203125" customWidth="1" style="113" min="6" max="6"/>
    <col width="16.5" customWidth="1" style="113" min="7" max="7"/>
    <col hidden="1" width="9.5" customWidth="1" style="113" min="8" max="8"/>
    <col width="11" bestFit="1" customWidth="1" style="113" min="9" max="9"/>
    <col hidden="1" width="8.5" customWidth="1" style="113" min="10" max="10"/>
    <col width="15.5" bestFit="1" customWidth="1" style="113" min="11" max="11"/>
    <col hidden="1" width="8.5" customWidth="1" style="113" min="12" max="12"/>
    <col width="16.5" customWidth="1" style="113" min="13" max="13"/>
    <col hidden="1" width="9.5" customWidth="1" style="113" min="14" max="14"/>
    <col width="16.5" customWidth="1" style="113" min="15" max="15"/>
    <col hidden="1" width="9.83203125" customWidth="1" style="113" min="16" max="16"/>
    <col width="12.5" customWidth="1" style="23" min="17" max="17"/>
    <col hidden="1" width="12.5" customWidth="1" style="23" min="18" max="18"/>
    <col width="8" customWidth="1" style="113" min="19" max="19"/>
    <col width="8.83203125" customWidth="1" style="13" min="20" max="20"/>
    <col width="8.83203125" customWidth="1" style="6" min="21" max="41"/>
  </cols>
  <sheetData>
    <row r="1" ht="16.5" customHeight="1" s="113" thickBot="1">
      <c r="C1" s="97" t="inlineStr">
        <is>
          <t>Current State (Readiness)</t>
        </is>
      </c>
      <c r="D1" s="95" t="n"/>
      <c r="E1" s="95" t="n"/>
      <c r="F1" s="95" t="n"/>
      <c r="G1" s="95" t="n"/>
      <c r="H1" s="95" t="n"/>
      <c r="I1" s="96" t="n"/>
      <c r="K1" s="94" t="inlineStr">
        <is>
          <t>Expected RoI (Value)</t>
        </is>
      </c>
      <c r="L1" s="95" t="n"/>
      <c r="M1" s="95" t="n"/>
      <c r="N1" s="95" t="n"/>
      <c r="O1" s="96" t="n"/>
      <c r="P1" s="7" t="n"/>
      <c r="Q1" s="100" t="inlineStr">
        <is>
          <t>Go To Market Priority</t>
        </is>
      </c>
      <c r="S1" s="98" t="inlineStr">
        <is>
          <t>Score</t>
        </is>
      </c>
    </row>
    <row r="2" ht="49" customFormat="1" customHeight="1" s="112" thickBot="1" thickTop="1">
      <c r="A2" s="21" t="n"/>
      <c r="B2" s="22" t="inlineStr">
        <is>
          <t>Digital Agent</t>
        </is>
      </c>
      <c r="C2" s="97" t="inlineStr">
        <is>
          <t>Standardization</t>
        </is>
      </c>
      <c r="D2" s="97" t="inlineStr">
        <is>
          <t>Standardization Score</t>
        </is>
      </c>
      <c r="E2" s="97" t="inlineStr">
        <is>
          <t>Adoption</t>
        </is>
      </c>
      <c r="F2" s="97" t="inlineStr">
        <is>
          <t>Adoption Score</t>
        </is>
      </c>
      <c r="G2" s="97" t="inlineStr">
        <is>
          <t>Data availability &amp; Quality</t>
        </is>
      </c>
      <c r="H2" s="97" t="inlineStr">
        <is>
          <t>Data score</t>
        </is>
      </c>
      <c r="I2" s="97" t="inlineStr">
        <is>
          <t>Support Coverage</t>
        </is>
      </c>
      <c r="J2" s="4" t="inlineStr">
        <is>
          <t>Support Score</t>
        </is>
      </c>
      <c r="K2" s="94" t="inlineStr">
        <is>
          <t>Cost Avoidance</t>
        </is>
      </c>
      <c r="L2" s="94" t="inlineStr">
        <is>
          <t>Cost Score</t>
        </is>
      </c>
      <c r="M2" s="94" t="inlineStr">
        <is>
          <t>Sales &amp; Profitability</t>
        </is>
      </c>
      <c r="N2" s="94" t="inlineStr">
        <is>
          <t>Revenue Score</t>
        </is>
      </c>
      <c r="O2" s="94" t="inlineStr">
        <is>
          <t>Time to value (Months)</t>
        </is>
      </c>
      <c r="P2" s="4" t="inlineStr">
        <is>
          <t>TtV Score</t>
        </is>
      </c>
      <c r="Q2" s="101" t="n"/>
      <c r="R2" s="97" t="n"/>
      <c r="S2" s="99" t="n"/>
      <c r="T2" s="14" t="n"/>
      <c r="U2" s="5" t="n"/>
      <c r="V2" s="5" t="n"/>
      <c r="W2" s="5" t="n"/>
      <c r="X2" s="5" t="n"/>
      <c r="Y2" s="5" t="n"/>
      <c r="Z2" s="5" t="n"/>
      <c r="AA2" s="5" t="n"/>
      <c r="AB2" s="5" t="n"/>
      <c r="AC2" s="5" t="n"/>
      <c r="AD2" s="5" t="n"/>
      <c r="AE2" s="5" t="n"/>
      <c r="AF2" s="5" t="n"/>
      <c r="AG2" s="5" t="n"/>
      <c r="AH2" s="5" t="n"/>
      <c r="AI2" s="5" t="n"/>
      <c r="AJ2" s="5" t="n"/>
      <c r="AK2" s="5" t="n"/>
      <c r="AL2" s="5" t="n"/>
      <c r="AM2" s="5" t="n"/>
      <c r="AN2" s="5" t="n"/>
      <c r="AO2" s="5" t="n"/>
    </row>
    <row r="3" ht="42.5" customHeight="1" s="113" thickBot="1" thickTop="1">
      <c r="A3" s="93" t="inlineStr">
        <is>
          <t>Lead-to-Order</t>
        </is>
      </c>
      <c r="B3" s="18" t="inlineStr">
        <is>
          <t>Master Data Quality Agent</t>
        </is>
      </c>
      <c r="C3" s="10" t="inlineStr">
        <is>
          <t>High</t>
        </is>
      </c>
      <c r="D3" s="10">
        <f>IFERROR(VLOOKUP(C3,'Master data'!$B$2:$C$4,2,FALSE),0)</f>
        <v/>
      </c>
      <c r="E3" s="10" t="inlineStr">
        <is>
          <t>Medium</t>
        </is>
      </c>
      <c r="F3" s="10">
        <f>IFERROR(VLOOKUP(E3,'Master data'!$B$2:$C$4,2,FALSE),0)</f>
        <v/>
      </c>
      <c r="G3" s="10" t="inlineStr">
        <is>
          <t>High</t>
        </is>
      </c>
      <c r="H3" s="10">
        <f>IFERROR(VLOOKUP(G3,'Master data'!$B$2:$C$4,2,FALSE),0)</f>
        <v/>
      </c>
      <c r="I3" s="10" t="inlineStr">
        <is>
          <t>Medium</t>
        </is>
      </c>
      <c r="J3" s="10">
        <f>IFERROR(VLOOKUP(I3,'Master data'!$B$2:$D$4,3,FALSE),0)</f>
        <v/>
      </c>
      <c r="K3" s="10" t="inlineStr">
        <is>
          <t>High</t>
        </is>
      </c>
      <c r="L3" s="10">
        <f>IFERROR(VLOOKUP(K3,'Master data'!$B$2:$C$4,2,FALSE),0)</f>
        <v/>
      </c>
      <c r="M3" s="10" t="inlineStr">
        <is>
          <t>Medium</t>
        </is>
      </c>
      <c r="N3" s="10">
        <f>IFERROR(VLOOKUP(M3,'Master data'!$B$2:$C$4,2,FALSE),0)</f>
        <v/>
      </c>
      <c r="O3" s="10" t="inlineStr">
        <is>
          <t>&lt;=12</t>
        </is>
      </c>
      <c r="P3" s="27">
        <f>IFERROR(VLOOKUP(O3,'Master data'!$F$2:$G$4,2,FALSE),0)</f>
        <v/>
      </c>
      <c r="Q3" s="28" t="n"/>
      <c r="R3" s="26">
        <f>IF(Q3="X",1,0)</f>
        <v/>
      </c>
      <c r="S3" s="10">
        <f>SUM(D3,F3,H3,J3,L3,N3,P3,R3)</f>
        <v/>
      </c>
    </row>
    <row r="4" ht="42.5" customFormat="1" customHeight="1" s="9" thickBot="1" thickTop="1">
      <c r="A4" s="91" t="n"/>
      <c r="B4" s="18" t="inlineStr">
        <is>
          <t>Quote Configuration Agent</t>
        </is>
      </c>
      <c r="C4" s="10" t="inlineStr">
        <is>
          <t>Low</t>
        </is>
      </c>
      <c r="D4" s="10">
        <f>IFERROR(VLOOKUP(C4,'Master data'!$B$2:$C$4,2,FALSE),0)</f>
        <v/>
      </c>
      <c r="E4" s="10" t="inlineStr">
        <is>
          <t>Low</t>
        </is>
      </c>
      <c r="F4" s="10">
        <f>IFERROR(VLOOKUP(E4,'Master data'!$B$2:$C$4,2,FALSE),0)</f>
        <v/>
      </c>
      <c r="G4" s="10" t="inlineStr">
        <is>
          <t>Medium</t>
        </is>
      </c>
      <c r="H4" s="10">
        <f>IFERROR(VLOOKUP(G4,'Master data'!$B$2:$C$4,2,FALSE),0)</f>
        <v/>
      </c>
      <c r="I4" s="10" t="inlineStr">
        <is>
          <t>Low</t>
        </is>
      </c>
      <c r="J4" s="10">
        <f>IFERROR(VLOOKUP(I4,'Master data'!$B$2:$D$4,3,FALSE),0)</f>
        <v/>
      </c>
      <c r="K4" s="10" t="inlineStr">
        <is>
          <t>High</t>
        </is>
      </c>
      <c r="L4" s="10">
        <f>IFERROR(VLOOKUP(K4,'Master data'!$B$2:$C$4,2,FALSE),0)</f>
        <v/>
      </c>
      <c r="M4" s="10" t="inlineStr">
        <is>
          <t>High</t>
        </is>
      </c>
      <c r="N4" s="10">
        <f>IFERROR(VLOOKUP(M4,'Master data'!$B$2:$C$4,2,FALSE),0)</f>
        <v/>
      </c>
      <c r="O4" s="10" t="inlineStr">
        <is>
          <t>&gt;12 &lt;=24</t>
        </is>
      </c>
      <c r="P4" s="27">
        <f>IFERROR(VLOOKUP(O4,'Master data'!$F$2:$G$4,2,FALSE),0)</f>
        <v/>
      </c>
      <c r="Q4" s="28" t="n"/>
      <c r="R4" s="26">
        <f>IF(Q4="X",1,0)</f>
        <v/>
      </c>
      <c r="S4" s="10">
        <f>SUM(D4,F4,H4,J4,L4,N4,P4,R4)</f>
        <v/>
      </c>
      <c r="T4" s="15" t="n"/>
      <c r="U4" s="8" t="n"/>
      <c r="V4" s="8" t="n"/>
      <c r="W4" s="8" t="n"/>
      <c r="X4" s="8" t="n"/>
      <c r="Y4" s="8" t="n"/>
      <c r="Z4" s="8" t="n"/>
      <c r="AA4" s="8" t="n"/>
      <c r="AB4" s="8" t="n"/>
      <c r="AC4" s="8" t="n"/>
      <c r="AD4" s="8" t="n"/>
      <c r="AE4" s="8" t="n"/>
      <c r="AF4" s="8" t="n"/>
      <c r="AG4" s="8" t="n"/>
      <c r="AH4" s="8" t="n"/>
      <c r="AI4" s="8" t="n"/>
      <c r="AJ4" s="8" t="n"/>
      <c r="AK4" s="8" t="n"/>
      <c r="AL4" s="8" t="n"/>
      <c r="AM4" s="8" t="n"/>
      <c r="AN4" s="8" t="n"/>
      <c r="AO4" s="8" t="n"/>
    </row>
    <row r="5" ht="42.5" customFormat="1" customHeight="1" s="9" thickBot="1" thickTop="1">
      <c r="A5" s="91" t="n"/>
      <c r="B5" s="18" t="inlineStr">
        <is>
          <t>Credit Decision Agent</t>
        </is>
      </c>
      <c r="C5" s="10" t="inlineStr">
        <is>
          <t>High</t>
        </is>
      </c>
      <c r="D5" s="10">
        <f>IFERROR(VLOOKUP(C5,'Master data'!$B$2:$C$4,2,FALSE),0)</f>
        <v/>
      </c>
      <c r="E5" s="10" t="inlineStr">
        <is>
          <t>Medium</t>
        </is>
      </c>
      <c r="F5" s="10">
        <f>IFERROR(VLOOKUP(E5,'Master data'!$B$2:$C$4,2,FALSE),0)</f>
        <v/>
      </c>
      <c r="G5" s="10" t="inlineStr">
        <is>
          <t>High</t>
        </is>
      </c>
      <c r="H5" s="10">
        <f>IFERROR(VLOOKUP(G5,'Master data'!$B$2:$C$4,2,FALSE),0)</f>
        <v/>
      </c>
      <c r="I5" s="10" t="inlineStr">
        <is>
          <t>Medium</t>
        </is>
      </c>
      <c r="J5" s="10">
        <f>IFERROR(VLOOKUP(I5,'Master data'!$B$2:$D$4,3,FALSE),0)</f>
        <v/>
      </c>
      <c r="K5" s="10" t="inlineStr">
        <is>
          <t>High</t>
        </is>
      </c>
      <c r="L5" s="10">
        <f>IFERROR(VLOOKUP(K5,'Master data'!$B$2:$C$4,2,FALSE),0)</f>
        <v/>
      </c>
      <c r="M5" s="10" t="inlineStr">
        <is>
          <t>High</t>
        </is>
      </c>
      <c r="N5" s="10">
        <f>IFERROR(VLOOKUP(M5,'Master data'!$B$2:$C$4,2,FALSE),0)</f>
        <v/>
      </c>
      <c r="O5" s="10" t="inlineStr">
        <is>
          <t>&lt;=12</t>
        </is>
      </c>
      <c r="P5" s="27">
        <f>IFERROR(VLOOKUP(O5,'Master data'!$F$2:$G$4,2,FALSE),0)</f>
        <v/>
      </c>
      <c r="Q5" s="28" t="n"/>
      <c r="R5" s="26">
        <f>IF(Q5="X",1,0)</f>
        <v/>
      </c>
      <c r="S5" s="10">
        <f>SUM(D5,F5,H5,J5,L5,N5,P5,R5)</f>
        <v/>
      </c>
      <c r="T5" s="15" t="n"/>
      <c r="U5" s="8" t="n"/>
      <c r="V5" s="8" t="n"/>
      <c r="W5" s="8" t="n"/>
      <c r="X5" s="8" t="n"/>
      <c r="Y5" s="8" t="n"/>
      <c r="Z5" s="8" t="n"/>
      <c r="AA5" s="8" t="n"/>
      <c r="AB5" s="8" t="n"/>
      <c r="AC5" s="8" t="n"/>
      <c r="AD5" s="8" t="n"/>
      <c r="AE5" s="8" t="n"/>
      <c r="AF5" s="8" t="n"/>
      <c r="AG5" s="8" t="n"/>
      <c r="AH5" s="8" t="n"/>
      <c r="AI5" s="8" t="n"/>
      <c r="AJ5" s="8" t="n"/>
      <c r="AK5" s="8" t="n"/>
      <c r="AL5" s="8" t="n"/>
      <c r="AM5" s="8" t="n"/>
      <c r="AN5" s="8" t="n"/>
      <c r="AO5" s="8" t="n"/>
    </row>
    <row r="6" ht="42.5" customFormat="1" customHeight="1" s="9" thickBot="1" thickTop="1">
      <c r="A6" s="91" t="n"/>
      <c r="B6" s="18" t="inlineStr">
        <is>
          <t>Compliance Orchestration Agent</t>
        </is>
      </c>
      <c r="C6" s="10" t="inlineStr">
        <is>
          <t>Medium</t>
        </is>
      </c>
      <c r="D6" s="10">
        <f>IFERROR(VLOOKUP(C6,'Master data'!$B$2:$C$4,2,FALSE),0)</f>
        <v/>
      </c>
      <c r="E6" s="10" t="inlineStr">
        <is>
          <t>Medium</t>
        </is>
      </c>
      <c r="F6" s="10">
        <f>IFERROR(VLOOKUP(E6,'Master data'!$B$2:$C$4,2,FALSE),0)</f>
        <v/>
      </c>
      <c r="G6" s="10" t="inlineStr">
        <is>
          <t>High</t>
        </is>
      </c>
      <c r="H6" s="10">
        <f>IFERROR(VLOOKUP(G6,'Master data'!$B$2:$C$4,2,FALSE),0)</f>
        <v/>
      </c>
      <c r="I6" s="10" t="inlineStr">
        <is>
          <t>Medium</t>
        </is>
      </c>
      <c r="J6" s="10">
        <f>IFERROR(VLOOKUP(I6,'Master data'!$B$2:$D$4,3,FALSE),0)</f>
        <v/>
      </c>
      <c r="K6" s="10" t="inlineStr">
        <is>
          <t>High</t>
        </is>
      </c>
      <c r="L6" s="10">
        <f>IFERROR(VLOOKUP(K6,'Master data'!$B$2:$C$4,2,FALSE),0)</f>
        <v/>
      </c>
      <c r="M6" s="10" t="inlineStr">
        <is>
          <t>High</t>
        </is>
      </c>
      <c r="N6" s="10">
        <f>IFERROR(VLOOKUP(M6,'Master data'!$B$2:$C$4,2,FALSE),0)</f>
        <v/>
      </c>
      <c r="O6" s="10" t="inlineStr">
        <is>
          <t>&gt;12 &lt;=24</t>
        </is>
      </c>
      <c r="P6" s="27">
        <f>IFERROR(VLOOKUP(O6,'Master data'!$F$2:$G$4,2,FALSE),0)</f>
        <v/>
      </c>
      <c r="Q6" s="28" t="n"/>
      <c r="R6" s="26">
        <f>IF(Q6="X",1,0)</f>
        <v/>
      </c>
      <c r="S6" s="10">
        <f>SUM(D6,F6,H6,J6,L6,N6,P6,R6)</f>
        <v/>
      </c>
      <c r="T6" s="15" t="n"/>
      <c r="U6" s="8" t="n"/>
      <c r="V6" s="8" t="n"/>
      <c r="W6" s="8" t="n"/>
      <c r="X6" s="8" t="n"/>
      <c r="Y6" s="8" t="n"/>
      <c r="Z6" s="8" t="n"/>
      <c r="AA6" s="8" t="n"/>
      <c r="AB6" s="8" t="n"/>
      <c r="AC6" s="8" t="n"/>
      <c r="AD6" s="8" t="n"/>
      <c r="AE6" s="8" t="n"/>
      <c r="AF6" s="8" t="n"/>
      <c r="AG6" s="8" t="n"/>
      <c r="AH6" s="8" t="n"/>
      <c r="AI6" s="8" t="n"/>
      <c r="AJ6" s="8" t="n"/>
      <c r="AK6" s="8" t="n"/>
      <c r="AL6" s="8" t="n"/>
      <c r="AM6" s="8" t="n"/>
      <c r="AN6" s="8" t="n"/>
      <c r="AO6" s="8" t="n"/>
    </row>
    <row r="7" ht="42.5" customFormat="1" customHeight="1" s="9" thickBot="1" thickTop="1">
      <c r="A7" s="91" t="n"/>
      <c r="B7" s="18" t="inlineStr">
        <is>
          <t>Quote Routing &amp; Approval Agent</t>
        </is>
      </c>
      <c r="C7" s="10" t="inlineStr">
        <is>
          <t>High</t>
        </is>
      </c>
      <c r="D7" s="10">
        <f>IFERROR(VLOOKUP(C7,'Master data'!$B$2:$C$4,2,FALSE),0)</f>
        <v/>
      </c>
      <c r="E7" s="10" t="inlineStr">
        <is>
          <t>Medium</t>
        </is>
      </c>
      <c r="F7" s="10">
        <f>IFERROR(VLOOKUP(E7,'Master data'!$B$2:$C$4,2,FALSE),0)</f>
        <v/>
      </c>
      <c r="G7" s="10" t="inlineStr">
        <is>
          <t>High</t>
        </is>
      </c>
      <c r="H7" s="10">
        <f>IFERROR(VLOOKUP(G7,'Master data'!$B$2:$C$4,2,FALSE),0)</f>
        <v/>
      </c>
      <c r="I7" s="10" t="inlineStr">
        <is>
          <t>High</t>
        </is>
      </c>
      <c r="J7" s="10">
        <f>IFERROR(VLOOKUP(I7,'Master data'!$B$2:$D$4,3,FALSE),0)</f>
        <v/>
      </c>
      <c r="K7" s="10" t="inlineStr">
        <is>
          <t>Medium</t>
        </is>
      </c>
      <c r="L7" s="10">
        <f>IFERROR(VLOOKUP(K7,'Master data'!$B$2:$C$4,2,FALSE),0)</f>
        <v/>
      </c>
      <c r="M7" s="10" t="inlineStr">
        <is>
          <t>High</t>
        </is>
      </c>
      <c r="N7" s="10">
        <f>IFERROR(VLOOKUP(M7,'Master data'!$B$2:$C$4,2,FALSE),0)</f>
        <v/>
      </c>
      <c r="O7" s="10" t="inlineStr">
        <is>
          <t>&lt;=12</t>
        </is>
      </c>
      <c r="P7" s="27">
        <f>IFERROR(VLOOKUP(O7,'Master data'!$F$2:$G$4,2,FALSE),0)</f>
        <v/>
      </c>
      <c r="Q7" s="28" t="n"/>
      <c r="R7" s="26">
        <f>IF(Q7="X",1,0)</f>
        <v/>
      </c>
      <c r="S7" s="10">
        <f>SUM(D7,F7,H7,J7,L7,N7,P7,R7)</f>
        <v/>
      </c>
      <c r="T7" s="15" t="n"/>
      <c r="U7" s="8" t="n"/>
      <c r="V7" s="8" t="n"/>
      <c r="W7" s="8" t="n"/>
      <c r="X7" s="8" t="n"/>
      <c r="Y7" s="8" t="n"/>
      <c r="Z7" s="8" t="n"/>
      <c r="AA7" s="8" t="n"/>
      <c r="AB7" s="8" t="n"/>
      <c r="AC7" s="8" t="n"/>
      <c r="AD7" s="8" t="n"/>
      <c r="AE7" s="8" t="n"/>
      <c r="AF7" s="8" t="n"/>
      <c r="AG7" s="8" t="n"/>
      <c r="AH7" s="8" t="n"/>
      <c r="AI7" s="8" t="n"/>
      <c r="AJ7" s="8" t="n"/>
      <c r="AK7" s="8" t="n"/>
      <c r="AL7" s="8" t="n"/>
      <c r="AM7" s="8" t="n"/>
      <c r="AN7" s="8" t="n"/>
      <c r="AO7" s="8" t="n"/>
    </row>
    <row r="8" ht="42.5" customFormat="1" customHeight="1" s="9" thickBot="1" thickTop="1">
      <c r="A8" s="91" t="n"/>
      <c r="B8" s="18" t="inlineStr">
        <is>
          <t>Quote Conversion Agent</t>
        </is>
      </c>
      <c r="C8" s="10" t="inlineStr">
        <is>
          <t>Medium</t>
        </is>
      </c>
      <c r="D8" s="10">
        <f>IFERROR(VLOOKUP(C8,'Master data'!$B$2:$C$4,2,FALSE),0)</f>
        <v/>
      </c>
      <c r="E8" s="10" t="inlineStr">
        <is>
          <t>Medium</t>
        </is>
      </c>
      <c r="F8" s="10">
        <f>IFERROR(VLOOKUP(E8,'Master data'!$B$2:$C$4,2,FALSE),0)</f>
        <v/>
      </c>
      <c r="G8" s="10" t="inlineStr">
        <is>
          <t>High</t>
        </is>
      </c>
      <c r="H8" s="10">
        <f>IFERROR(VLOOKUP(G8,'Master data'!$B$2:$C$4,2,FALSE),0)</f>
        <v/>
      </c>
      <c r="I8" s="10" t="inlineStr">
        <is>
          <t>Medium</t>
        </is>
      </c>
      <c r="J8" s="10">
        <f>IFERROR(VLOOKUP(I8,'Master data'!$B$2:$D$4,3,FALSE),0)</f>
        <v/>
      </c>
      <c r="K8" s="10" t="inlineStr">
        <is>
          <t>Medium</t>
        </is>
      </c>
      <c r="L8" s="10">
        <f>IFERROR(VLOOKUP(K8,'Master data'!$B$2:$C$4,2,FALSE),0)</f>
        <v/>
      </c>
      <c r="M8" s="10" t="inlineStr">
        <is>
          <t>High</t>
        </is>
      </c>
      <c r="N8" s="10">
        <f>IFERROR(VLOOKUP(M8,'Master data'!$B$2:$C$4,2,FALSE),0)</f>
        <v/>
      </c>
      <c r="O8" s="10" t="inlineStr">
        <is>
          <t>&lt;=12</t>
        </is>
      </c>
      <c r="P8" s="27">
        <f>IFERROR(VLOOKUP(O8,'Master data'!$F$2:$G$4,2,FALSE),0)</f>
        <v/>
      </c>
      <c r="Q8" s="28" t="n"/>
      <c r="R8" s="26">
        <f>IF(Q8="X",1,0)</f>
        <v/>
      </c>
      <c r="S8" s="10">
        <f>SUM(D8,F8,H8,J8,L8,N8,P8,R8)</f>
        <v/>
      </c>
      <c r="T8" s="15" t="n"/>
      <c r="U8" s="8" t="n"/>
      <c r="V8" s="8" t="n"/>
      <c r="W8" s="8" t="n"/>
      <c r="X8" s="8" t="n"/>
      <c r="Y8" s="8" t="n"/>
      <c r="Z8" s="8" t="n"/>
      <c r="AA8" s="8" t="n"/>
      <c r="AB8" s="8" t="n"/>
      <c r="AC8" s="8" t="n"/>
      <c r="AD8" s="8" t="n"/>
      <c r="AE8" s="8" t="n"/>
      <c r="AF8" s="8" t="n"/>
      <c r="AG8" s="8" t="n"/>
      <c r="AH8" s="8" t="n"/>
      <c r="AI8" s="8" t="n"/>
      <c r="AJ8" s="8" t="n"/>
      <c r="AK8" s="8" t="n"/>
      <c r="AL8" s="8" t="n"/>
      <c r="AM8" s="8" t="n"/>
      <c r="AN8" s="8" t="n"/>
      <c r="AO8" s="8" t="n"/>
    </row>
    <row r="9" ht="42.5" customFormat="1" customHeight="1" s="12" thickBot="1" thickTop="1">
      <c r="A9" s="90" t="inlineStr">
        <is>
          <t>Order-to-Cash</t>
        </is>
      </c>
      <c r="B9" s="18" t="n"/>
      <c r="C9" s="10" t="n"/>
      <c r="D9" s="10" t="n"/>
      <c r="E9" s="10" t="n"/>
      <c r="F9" s="10" t="n"/>
      <c r="G9" s="10" t="n"/>
      <c r="H9" s="10" t="n"/>
      <c r="I9" s="10" t="n"/>
      <c r="J9" s="10" t="n"/>
      <c r="K9" s="10" t="n"/>
      <c r="L9" s="10" t="n"/>
      <c r="M9" s="10" t="n"/>
      <c r="N9" s="10">
        <f>IFERROR(VLOOKUP(M9,'Master data'!$B$2:$C$4,2,FALSE),0)</f>
        <v/>
      </c>
      <c r="O9" s="10" t="n"/>
      <c r="P9" s="27">
        <f>IFERROR(VLOOKUP(O9,'Master data'!$F$2:$G$4,2,FALSE),0)</f>
        <v/>
      </c>
      <c r="Q9" s="29" t="inlineStr">
        <is>
          <t>X</t>
        </is>
      </c>
      <c r="R9" s="26">
        <f>IF(Q9="X",1,0)</f>
        <v/>
      </c>
      <c r="S9" s="10">
        <f>SUM(D9,F9,H9,J9,L9,N9,P9,R9)</f>
        <v/>
      </c>
      <c r="T9" s="16" t="n"/>
      <c r="U9" s="11" t="n"/>
      <c r="V9" s="11" t="n"/>
      <c r="W9" s="11" t="n"/>
      <c r="X9" s="11" t="n"/>
      <c r="Y9" s="11" t="n"/>
      <c r="Z9" s="11" t="n"/>
      <c r="AA9" s="11" t="n"/>
      <c r="AB9" s="11" t="n"/>
      <c r="AC9" s="11" t="n"/>
      <c r="AD9" s="11" t="n"/>
      <c r="AE9" s="11" t="n"/>
      <c r="AF9" s="11" t="n"/>
      <c r="AG9" s="11" t="n"/>
      <c r="AH9" s="11" t="n"/>
      <c r="AI9" s="11" t="n"/>
      <c r="AJ9" s="11" t="n"/>
      <c r="AK9" s="11" t="n"/>
      <c r="AL9" s="11" t="n"/>
      <c r="AM9" s="11" t="n"/>
      <c r="AN9" s="11" t="n"/>
      <c r="AO9" s="11" t="n"/>
    </row>
    <row r="10" ht="42.5" customFormat="1" customHeight="1" s="12" thickBot="1" thickTop="1">
      <c r="A10" s="91" t="n"/>
      <c r="B10" s="18" t="n"/>
      <c r="C10" s="10" t="n"/>
      <c r="D10" s="10" t="n"/>
      <c r="E10" s="10" t="n"/>
      <c r="F10" s="10" t="n"/>
      <c r="G10" s="10" t="n"/>
      <c r="H10" s="10" t="n"/>
      <c r="I10" s="10" t="n"/>
      <c r="J10" s="10" t="n"/>
      <c r="K10" s="10" t="n"/>
      <c r="L10" s="10" t="n"/>
      <c r="M10" s="10" t="n"/>
      <c r="N10" s="10">
        <f>IFERROR(VLOOKUP(M10,'Master data'!$B$2:$C$4,2,FALSE),0)</f>
        <v/>
      </c>
      <c r="O10" s="10" t="n"/>
      <c r="P10" s="27">
        <f>IFERROR(VLOOKUP(O10,'Master data'!$F$2:$G$4,2,FALSE),0)</f>
        <v/>
      </c>
      <c r="Q10" s="28" t="n"/>
      <c r="R10" s="26">
        <f>IF(Q10="X",1,0)</f>
        <v/>
      </c>
      <c r="S10" s="10">
        <f>SUM(D10,F10,H10,J10,L10,N10,P10,R10)</f>
        <v/>
      </c>
      <c r="T10" s="16" t="n"/>
      <c r="U10" s="11" t="n"/>
      <c r="V10" s="11" t="n"/>
      <c r="W10" s="11" t="n"/>
      <c r="X10" s="11" t="n"/>
      <c r="Y10" s="11" t="n"/>
      <c r="Z10" s="11" t="n"/>
      <c r="AA10" s="11" t="n"/>
      <c r="AB10" s="11" t="n"/>
      <c r="AC10" s="11" t="n"/>
      <c r="AD10" s="11" t="n"/>
      <c r="AE10" s="11" t="n"/>
      <c r="AF10" s="11" t="n"/>
      <c r="AG10" s="11" t="n"/>
      <c r="AH10" s="11" t="n"/>
      <c r="AI10" s="11" t="n"/>
      <c r="AJ10" s="11" t="n"/>
      <c r="AK10" s="11" t="n"/>
      <c r="AL10" s="11" t="n"/>
      <c r="AM10" s="11" t="n"/>
      <c r="AN10" s="11" t="n"/>
      <c r="AO10" s="11" t="n"/>
    </row>
    <row r="11" ht="42.5" customFormat="1" customHeight="1" s="12" thickBot="1" thickTop="1">
      <c r="A11" s="91" t="n"/>
      <c r="B11" s="18" t="n"/>
      <c r="C11" s="10" t="n"/>
      <c r="D11" s="10" t="n"/>
      <c r="E11" s="10" t="n"/>
      <c r="F11" s="10" t="n"/>
      <c r="G11" s="10" t="n"/>
      <c r="H11" s="10" t="n"/>
      <c r="I11" s="10" t="n"/>
      <c r="J11" s="10" t="n"/>
      <c r="K11" s="10" t="n"/>
      <c r="L11" s="10" t="n"/>
      <c r="M11" s="10" t="n"/>
      <c r="N11" s="10">
        <f>IFERROR(VLOOKUP(M11,'Master data'!$B$2:$C$4,2,FALSE),0)</f>
        <v/>
      </c>
      <c r="O11" s="10" t="n"/>
      <c r="P11" s="27">
        <f>IFERROR(VLOOKUP(O11,'Master data'!$F$2:$G$4,2,FALSE),0)</f>
        <v/>
      </c>
      <c r="Q11" s="28" t="n"/>
      <c r="R11" s="26">
        <f>IF(Q11="X",1,0)</f>
        <v/>
      </c>
      <c r="S11" s="10">
        <f>SUM(D11,F11,H11,J11,L11,N11,P11,R11)</f>
        <v/>
      </c>
      <c r="T11" s="16" t="n"/>
      <c r="U11" s="11" t="n"/>
      <c r="V11" s="11" t="n"/>
      <c r="W11" s="11" t="n"/>
      <c r="X11" s="11" t="n"/>
      <c r="Y11" s="11" t="n"/>
      <c r="Z11" s="11" t="n"/>
      <c r="AA11" s="11" t="n"/>
      <c r="AB11" s="11" t="n"/>
      <c r="AC11" s="11" t="n"/>
      <c r="AD11" s="11" t="n"/>
      <c r="AE11" s="11" t="n"/>
      <c r="AF11" s="11" t="n"/>
      <c r="AG11" s="11" t="n"/>
      <c r="AH11" s="11" t="n"/>
      <c r="AI11" s="11" t="n"/>
      <c r="AJ11" s="11" t="n"/>
      <c r="AK11" s="11" t="n"/>
      <c r="AL11" s="11" t="n"/>
      <c r="AM11" s="11" t="n"/>
      <c r="AN11" s="11" t="n"/>
      <c r="AO11" s="11" t="n"/>
    </row>
    <row r="12" ht="42.5" customFormat="1" customHeight="1" s="12" thickBot="1" thickTop="1">
      <c r="A12" s="92" t="n"/>
      <c r="B12" s="18" t="n"/>
      <c r="C12" s="10" t="n"/>
      <c r="D12" s="10" t="n"/>
      <c r="E12" s="10" t="n"/>
      <c r="F12" s="10" t="n"/>
      <c r="G12" s="10" t="n"/>
      <c r="H12" s="10" t="n"/>
      <c r="I12" s="10" t="n"/>
      <c r="J12" s="10" t="n"/>
      <c r="K12" s="10" t="n"/>
      <c r="L12" s="10" t="n"/>
      <c r="M12" s="10" t="n"/>
      <c r="N12" s="10">
        <f>IFERROR(VLOOKUP(M12,'Master data'!$B$2:$C$4,2,FALSE),0)</f>
        <v/>
      </c>
      <c r="O12" s="10" t="n"/>
      <c r="P12" s="27">
        <f>IFERROR(VLOOKUP(O12,'Master data'!$F$2:$G$4,2,FALSE),0)</f>
        <v/>
      </c>
      <c r="Q12" s="28" t="n"/>
      <c r="R12" s="26">
        <f>IF(Q12="X",1,0)</f>
        <v/>
      </c>
      <c r="S12" s="10">
        <f>SUM(D12,F12,H12,J12,L12,N12,P12,R12)</f>
        <v/>
      </c>
      <c r="T12" s="16" t="n"/>
      <c r="U12" s="11" t="n"/>
      <c r="V12" s="11" t="n"/>
      <c r="W12" s="11" t="n"/>
      <c r="X12" s="11" t="n"/>
      <c r="Y12" s="11" t="n"/>
      <c r="Z12" s="11" t="n"/>
      <c r="AA12" s="11" t="n"/>
      <c r="AB12" s="11" t="n"/>
      <c r="AC12" s="11" t="n"/>
      <c r="AD12" s="11" t="n"/>
      <c r="AE12" s="11" t="n"/>
      <c r="AF12" s="11" t="n"/>
      <c r="AG12" s="11" t="n"/>
      <c r="AH12" s="11" t="n"/>
      <c r="AI12" s="11" t="n"/>
      <c r="AJ12" s="11" t="n"/>
      <c r="AK12" s="11" t="n"/>
      <c r="AL12" s="11" t="n"/>
      <c r="AM12" s="11" t="n"/>
      <c r="AN12" s="11" t="n"/>
      <c r="AO12" s="11" t="n"/>
    </row>
    <row r="13" ht="49" customFormat="1" customHeight="1" s="6" thickBot="1" thickTop="1">
      <c r="B13" s="17" t="n"/>
      <c r="D13" s="3">
        <f>IFERROR(VLOOKUP(C13,'Master data'!$B$2:$C$4,2,FALSE),0)</f>
        <v/>
      </c>
      <c r="Q13" s="24" t="n"/>
      <c r="R13" s="26">
        <f>IF(Q13="X",1,0)</f>
        <v/>
      </c>
      <c r="T13" s="13" t="n"/>
    </row>
    <row r="14" ht="49" customFormat="1" customHeight="1" s="6" thickBot="1" thickTop="1">
      <c r="B14" s="17" t="n"/>
      <c r="D14" s="3">
        <f>IFERROR(VLOOKUP(C14,'Master data'!$B$2:$C$4,2,FALSE),0)</f>
        <v/>
      </c>
      <c r="Q14" s="24" t="n"/>
      <c r="R14" s="26">
        <f>IF(Q14="X",1,0)</f>
        <v/>
      </c>
      <c r="T14" s="13" t="n"/>
    </row>
    <row r="15" ht="18.5" customFormat="1" customHeight="1" s="6" thickBot="1" thickTop="1">
      <c r="B15" s="17" t="n"/>
      <c r="D15" s="3">
        <f>IFERROR(VLOOKUP(C15,'Master data'!$B$2:$C$4,2,FALSE),0)</f>
        <v/>
      </c>
      <c r="Q15" s="24" t="n"/>
      <c r="R15" s="26">
        <f>IF(Q15="X",1,0)</f>
        <v/>
      </c>
      <c r="T15" s="13" t="n"/>
    </row>
    <row r="16" ht="18.5" customFormat="1" customHeight="1" s="6" thickBot="1" thickTop="1">
      <c r="B16" s="17" t="n"/>
      <c r="D16" s="3">
        <f>IFERROR(VLOOKUP(C16,'Master data'!$B$2:$C$4,2,FALSE),0)</f>
        <v/>
      </c>
      <c r="Q16" s="24" t="n"/>
      <c r="R16" s="26">
        <f>IF(Q16="X",1,0)</f>
        <v/>
      </c>
      <c r="T16" s="13" t="n"/>
    </row>
    <row r="17" ht="18.5" customFormat="1" customHeight="1" s="6" thickBot="1" thickTop="1">
      <c r="B17" s="17" t="n"/>
      <c r="D17" s="3">
        <f>IFERROR(VLOOKUP(C17,'Master data'!$B$2:$C$4,2,FALSE),0)</f>
        <v/>
      </c>
      <c r="Q17" s="24" t="n"/>
      <c r="R17" s="26">
        <f>IF(Q17="X",1,0)</f>
        <v/>
      </c>
      <c r="T17" s="13" t="n"/>
    </row>
    <row r="18" ht="18.5" customFormat="1" customHeight="1" s="6" thickBot="1" thickTop="1">
      <c r="B18" s="17" t="n"/>
      <c r="D18" s="3">
        <f>IFERROR(VLOOKUP(C18,'Master data'!$B$2:$C$4,2,FALSE),0)</f>
        <v/>
      </c>
      <c r="Q18" s="24" t="n"/>
      <c r="R18" s="26">
        <f>IF(Q18="X",1,0)</f>
        <v/>
      </c>
      <c r="T18" s="13" t="n"/>
    </row>
    <row r="19" ht="18.5" customFormat="1" customHeight="1" s="6" thickBot="1" thickTop="1">
      <c r="B19" s="17" t="n"/>
      <c r="D19" s="3">
        <f>IFERROR(VLOOKUP(C19,'Master data'!$B$2:$C$4,2,FALSE),0)</f>
        <v/>
      </c>
      <c r="Q19" s="24" t="n"/>
      <c r="R19" s="26">
        <f>IF(Q19="X",1,0)</f>
        <v/>
      </c>
      <c r="T19" s="13" t="n"/>
    </row>
    <row r="20" ht="18.5" customFormat="1" customHeight="1" s="6" thickBot="1" thickTop="1">
      <c r="B20" s="17" t="n"/>
      <c r="D20" s="3">
        <f>IFERROR(VLOOKUP(C20,'Master data'!$B$2:$C$4,2,FALSE),0)</f>
        <v/>
      </c>
      <c r="Q20" s="24" t="n"/>
      <c r="R20" s="26">
        <f>IF(Q20="X",1,0)</f>
        <v/>
      </c>
      <c r="T20" s="13" t="n"/>
    </row>
    <row r="21" ht="18.5" customFormat="1" customHeight="1" s="6" thickBot="1" thickTop="1">
      <c r="B21" s="17" t="n"/>
      <c r="D21" s="3">
        <f>IFERROR(VLOOKUP(C21,'Master data'!$B$2:$C$4,2,FALSE),0)</f>
        <v/>
      </c>
      <c r="Q21" s="24" t="n"/>
      <c r="R21" s="26">
        <f>IF(Q21="X",1,0)</f>
        <v/>
      </c>
      <c r="T21" s="13" t="n"/>
    </row>
    <row r="22" ht="18.5" customFormat="1" customHeight="1" s="6" thickBot="1" thickTop="1">
      <c r="B22" s="17" t="n"/>
      <c r="D22" s="3">
        <f>IFERROR(VLOOKUP(C22,'Master data'!$B$2:$C$4,2,FALSE),0)</f>
        <v/>
      </c>
      <c r="Q22" s="24" t="n"/>
      <c r="R22" s="26">
        <f>IF(Q22="X",1,0)</f>
        <v/>
      </c>
      <c r="T22" s="13" t="n"/>
    </row>
    <row r="23" ht="18.5" customFormat="1" customHeight="1" s="6" thickBot="1" thickTop="1">
      <c r="B23" s="17" t="n"/>
      <c r="D23" s="3">
        <f>IFERROR(VLOOKUP(C23,'Master data'!$B$2:$C$4,2,FALSE),0)</f>
        <v/>
      </c>
      <c r="Q23" s="24" t="n"/>
      <c r="R23" s="26">
        <f>IF(Q23="X",1,0)</f>
        <v/>
      </c>
      <c r="T23" s="13" t="n"/>
    </row>
    <row r="24" ht="18.5" customFormat="1" customHeight="1" s="6" thickBot="1" thickTop="1">
      <c r="B24" s="17" t="n"/>
      <c r="D24" s="3">
        <f>IFERROR(VLOOKUP(C24,'Master data'!$B$2:$C$4,2,FALSE),0)</f>
        <v/>
      </c>
      <c r="Q24" s="24" t="n"/>
      <c r="R24" s="26">
        <f>IF(Q24="X",1,0)</f>
        <v/>
      </c>
      <c r="T24" s="13" t="n"/>
    </row>
    <row r="25" ht="18.5" customFormat="1" customHeight="1" s="6" thickBot="1" thickTop="1">
      <c r="B25" s="17" t="n"/>
      <c r="D25" s="3">
        <f>IFERROR(VLOOKUP(C25,'Master data'!$B$2:$C$4,2,FALSE),0)</f>
        <v/>
      </c>
      <c r="Q25" s="24" t="n"/>
      <c r="R25" s="26">
        <f>IF(Q25="X",1,0)</f>
        <v/>
      </c>
      <c r="T25" s="13" t="n"/>
    </row>
    <row r="26" ht="18.5" customFormat="1" customHeight="1" s="6" thickBot="1" thickTop="1">
      <c r="B26" s="17" t="n"/>
      <c r="D26" s="3">
        <f>IFERROR(VLOOKUP(C26,'Master data'!$B$2:$C$4,2,FALSE),0)</f>
        <v/>
      </c>
      <c r="Q26" s="24" t="n"/>
      <c r="R26" s="26">
        <f>IF(Q26="X",1,0)</f>
        <v/>
      </c>
      <c r="T26" s="13" t="n"/>
    </row>
    <row r="27" ht="18.5" customFormat="1" customHeight="1" s="6" thickBot="1" thickTop="1">
      <c r="B27" s="17" t="n"/>
      <c r="D27" s="3">
        <f>IFERROR(VLOOKUP(C27,'Master data'!$B$2:$C$4,2,FALSE),0)</f>
        <v/>
      </c>
      <c r="Q27" s="24" t="n"/>
      <c r="R27" s="26">
        <f>IF(Q27="X",1,0)</f>
        <v/>
      </c>
      <c r="T27" s="13" t="n"/>
    </row>
    <row r="28" ht="18.5" customFormat="1" customHeight="1" s="6" thickBot="1" thickTop="1">
      <c r="B28" s="17" t="n"/>
      <c r="D28" s="3">
        <f>IFERROR(VLOOKUP(C28,'Master data'!$B$2:$C$4,2,FALSE),0)</f>
        <v/>
      </c>
      <c r="Q28" s="24" t="n"/>
      <c r="R28" s="26">
        <f>IF(Q28="X",1,0)</f>
        <v/>
      </c>
      <c r="T28" s="13" t="n"/>
    </row>
    <row r="29" ht="18.5" customFormat="1" customHeight="1" s="6" thickBot="1" thickTop="1">
      <c r="B29" s="17" t="n"/>
      <c r="D29" s="3">
        <f>IFERROR(VLOOKUP(C29,'Master data'!$B$2:$C$4,2,FALSE),0)</f>
        <v/>
      </c>
      <c r="Q29" s="24" t="n"/>
      <c r="R29" s="26">
        <f>IF(Q29="X",1,0)</f>
        <v/>
      </c>
      <c r="T29" s="13" t="n"/>
    </row>
    <row r="30" ht="18.5" customFormat="1" customHeight="1" s="6" thickBot="1" thickTop="1">
      <c r="B30" s="17" t="n"/>
      <c r="D30" s="3">
        <f>IFERROR(VLOOKUP(C30,'Master data'!$B$2:$C$4,2,FALSE),0)</f>
        <v/>
      </c>
      <c r="Q30" s="24" t="n"/>
      <c r="R30" s="26">
        <f>IF(Q30="X",1,0)</f>
        <v/>
      </c>
      <c r="T30" s="13" t="n"/>
    </row>
    <row r="31" ht="18.5" customFormat="1" customHeight="1" s="6" thickBot="1" thickTop="1">
      <c r="B31" s="17" t="n"/>
      <c r="D31" s="3">
        <f>IFERROR(VLOOKUP(C31,'Master data'!$B$2:$C$4,2,FALSE),0)</f>
        <v/>
      </c>
      <c r="Q31" s="24" t="n"/>
      <c r="R31" s="26">
        <f>IF(Q31="X",1,0)</f>
        <v/>
      </c>
      <c r="T31" s="13" t="n"/>
    </row>
    <row r="32" ht="18.5" customFormat="1" customHeight="1" s="6" thickBot="1" thickTop="1">
      <c r="B32" s="17" t="n"/>
      <c r="D32" s="3">
        <f>IFERROR(VLOOKUP(C32,'Master data'!$B$2:$C$4,2,FALSE),0)</f>
        <v/>
      </c>
      <c r="Q32" s="24" t="n"/>
      <c r="R32" s="26">
        <f>IF(Q32="X",1,0)</f>
        <v/>
      </c>
      <c r="T32" s="13" t="n"/>
    </row>
    <row r="33" ht="18.5" customFormat="1" customHeight="1" s="6" thickBot="1" thickTop="1">
      <c r="B33" s="17" t="n"/>
      <c r="D33" s="3">
        <f>IFERROR(VLOOKUP(C33,'Master data'!$B$2:$C$4,2,FALSE),0)</f>
        <v/>
      </c>
      <c r="Q33" s="24" t="n"/>
      <c r="R33" s="26">
        <f>IF(Q33="X",1,0)</f>
        <v/>
      </c>
      <c r="T33" s="13" t="n"/>
    </row>
    <row r="34" ht="18.5" customFormat="1" customHeight="1" s="6" thickBot="1" thickTop="1">
      <c r="B34" s="17" t="n"/>
      <c r="D34" s="3">
        <f>IFERROR(VLOOKUP(C34,'Master data'!$B$2:$C$4,2,FALSE),0)</f>
        <v/>
      </c>
      <c r="Q34" s="24" t="n"/>
      <c r="R34" s="26">
        <f>IF(Q34="X",1,0)</f>
        <v/>
      </c>
      <c r="T34" s="13" t="n"/>
    </row>
    <row r="35" ht="18.5" customFormat="1" customHeight="1" s="6" thickBot="1" thickTop="1">
      <c r="B35" s="17" t="n"/>
      <c r="D35" s="3">
        <f>IFERROR(VLOOKUP(C35,'Master data'!$B$2:$C$4,2,FALSE),0)</f>
        <v/>
      </c>
      <c r="Q35" s="24" t="n"/>
      <c r="R35" s="26">
        <f>IF(Q35="X",1,0)</f>
        <v/>
      </c>
      <c r="T35" s="13" t="n"/>
    </row>
    <row r="36" ht="18.5" customFormat="1" customHeight="1" s="6" thickBot="1" thickTop="1">
      <c r="B36" s="17" t="n"/>
      <c r="D36" s="3">
        <f>IFERROR(VLOOKUP(C36,'Master data'!$B$2:$C$4,2,FALSE),0)</f>
        <v/>
      </c>
      <c r="Q36" s="24" t="n"/>
      <c r="R36" s="26">
        <f>IF(Q36="X",1,0)</f>
        <v/>
      </c>
      <c r="T36" s="13" t="n"/>
    </row>
    <row r="37" ht="18.5" customFormat="1" customHeight="1" s="6" thickBot="1" thickTop="1">
      <c r="B37" s="17" t="n"/>
      <c r="D37" s="3">
        <f>IFERROR(VLOOKUP(C37,'Master data'!$B$2:$C$4,2,FALSE),0)</f>
        <v/>
      </c>
      <c r="Q37" s="24" t="n"/>
      <c r="R37" s="26">
        <f>IF(Q37="X",1,0)</f>
        <v/>
      </c>
      <c r="T37" s="13" t="n"/>
    </row>
    <row r="38" ht="18.5" customFormat="1" customHeight="1" s="6" thickBot="1" thickTop="1">
      <c r="B38" s="17" t="n"/>
      <c r="D38" s="3">
        <f>IFERROR(VLOOKUP(C38,'Master data'!$B$2:$C$4,2,FALSE),0)</f>
        <v/>
      </c>
      <c r="Q38" s="24" t="n"/>
      <c r="R38" s="26">
        <f>IF(Q38="X",1,0)</f>
        <v/>
      </c>
      <c r="T38" s="13" t="n"/>
    </row>
    <row r="39" ht="18.5" customFormat="1" customHeight="1" s="6" thickBot="1" thickTop="1">
      <c r="B39" s="17" t="n"/>
      <c r="D39" s="3">
        <f>IFERROR(VLOOKUP(C39,'Master data'!$B$2:$C$4,2,FALSE),0)</f>
        <v/>
      </c>
      <c r="Q39" s="24" t="n"/>
      <c r="R39" s="26">
        <f>IF(Q39="X",1,0)</f>
        <v/>
      </c>
      <c r="T39" s="13" t="n"/>
    </row>
    <row r="40" ht="18.5" customFormat="1" customHeight="1" s="6" thickBot="1" thickTop="1">
      <c r="B40" s="17" t="n"/>
      <c r="D40" s="3">
        <f>IFERROR(VLOOKUP(C40,'Master data'!$B$2:$C$4,2,FALSE),0)</f>
        <v/>
      </c>
      <c r="Q40" s="24" t="n"/>
      <c r="R40" s="26">
        <f>IF(Q40="X",1,0)</f>
        <v/>
      </c>
      <c r="T40" s="13" t="n"/>
    </row>
    <row r="41" ht="18.5" customFormat="1" customHeight="1" s="6" thickBot="1" thickTop="1">
      <c r="B41" s="17" t="n"/>
      <c r="D41" s="3">
        <f>IFERROR(VLOOKUP(C41,'Master data'!$B$2:$C$4,2,FALSE),0)</f>
        <v/>
      </c>
      <c r="Q41" s="24" t="n"/>
      <c r="R41" s="26">
        <f>IF(Q41="X",1,0)</f>
        <v/>
      </c>
      <c r="T41" s="13" t="n"/>
    </row>
    <row r="42" ht="18.5" customFormat="1" customHeight="1" s="6" thickBot="1" thickTop="1">
      <c r="B42" s="17" t="n"/>
      <c r="D42" s="3">
        <f>IFERROR(VLOOKUP(C42,'Master data'!$B$2:$C$4,2,FALSE),0)</f>
        <v/>
      </c>
      <c r="Q42" s="24" t="n"/>
      <c r="R42" s="26">
        <f>IF(Q42="X",1,0)</f>
        <v/>
      </c>
      <c r="T42" s="13" t="n"/>
    </row>
    <row r="43" ht="18.5" customFormat="1" customHeight="1" s="6" thickBot="1" thickTop="1">
      <c r="B43" s="17" t="n"/>
      <c r="D43" s="3">
        <f>IFERROR(VLOOKUP(C43,'Master data'!$B$2:$C$4,2,FALSE),0)</f>
        <v/>
      </c>
      <c r="Q43" s="24" t="n"/>
      <c r="R43" s="26">
        <f>IF(Q43="X",1,0)</f>
        <v/>
      </c>
      <c r="T43" s="13" t="n"/>
    </row>
    <row r="44" ht="18.5" customFormat="1" customHeight="1" s="6" thickBot="1" thickTop="1">
      <c r="D44" s="3">
        <f>IFERROR(VLOOKUP(C44,'Master data'!$B$2:$C$4,2,FALSE),0)</f>
        <v/>
      </c>
      <c r="Q44" s="25" t="n"/>
      <c r="R44" s="26">
        <f>IF(Q44="X",1,0)</f>
        <v/>
      </c>
      <c r="T44" s="13" t="n"/>
    </row>
    <row r="45" ht="18.5" customFormat="1" customHeight="1" s="6" thickBot="1" thickTop="1">
      <c r="D45" s="3">
        <f>IFERROR(VLOOKUP(C45,'Master data'!$B$2:$C$4,2,FALSE),0)</f>
        <v/>
      </c>
      <c r="Q45" s="25" t="n"/>
      <c r="R45" s="26">
        <f>IF(Q45="X",1,0)</f>
        <v/>
      </c>
      <c r="T45" s="13" t="n"/>
    </row>
    <row r="46" ht="18.5" customFormat="1" customHeight="1" s="6" thickBot="1" thickTop="1">
      <c r="D46" s="3">
        <f>IFERROR(VLOOKUP(C46,'Master data'!$B$2:$C$4,2,FALSE),0)</f>
        <v/>
      </c>
      <c r="Q46" s="25" t="n"/>
      <c r="R46" s="26">
        <f>IF(Q46="X",1,0)</f>
        <v/>
      </c>
      <c r="T46" s="13" t="n"/>
    </row>
    <row r="47" ht="18.5" customFormat="1" customHeight="1" s="6" thickBot="1" thickTop="1">
      <c r="D47" s="3">
        <f>IFERROR(VLOOKUP(C47,'Master data'!$B$2:$C$4,2,FALSE),0)</f>
        <v/>
      </c>
      <c r="Q47" s="25" t="n"/>
      <c r="R47" s="26">
        <f>IF(Q47="X",1,0)</f>
        <v/>
      </c>
      <c r="T47" s="13" t="n"/>
    </row>
    <row r="48" ht="18.5" customFormat="1" customHeight="1" s="6" thickBot="1" thickTop="1">
      <c r="D48" s="3">
        <f>IFERROR(VLOOKUP(C48,'Master data'!$B$2:$C$4,2,FALSE),0)</f>
        <v/>
      </c>
      <c r="Q48" s="25" t="n"/>
      <c r="R48" s="26">
        <f>IF(Q48="X",1,0)</f>
        <v/>
      </c>
      <c r="T48" s="13" t="n"/>
    </row>
    <row r="49" ht="18.5" customFormat="1" customHeight="1" s="6" thickBot="1" thickTop="1">
      <c r="D49" s="3">
        <f>IFERROR(VLOOKUP(C49,'Master data'!$B$2:$C$4,2,FALSE),0)</f>
        <v/>
      </c>
      <c r="Q49" s="25" t="n"/>
      <c r="R49" s="26">
        <f>IF(Q49="X",1,0)</f>
        <v/>
      </c>
      <c r="T49" s="13" t="n"/>
    </row>
    <row r="50" ht="18.5" customFormat="1" customHeight="1" s="6" thickBot="1" thickTop="1">
      <c r="D50" s="3">
        <f>IFERROR(VLOOKUP(C50,'Master data'!$B$2:$C$4,2,FALSE),0)</f>
        <v/>
      </c>
      <c r="Q50" s="25" t="n"/>
      <c r="R50" s="26">
        <f>IF(Q50="X",1,0)</f>
        <v/>
      </c>
      <c r="T50" s="13" t="n"/>
    </row>
    <row r="51" ht="18.5" customFormat="1" customHeight="1" s="6" thickBot="1" thickTop="1">
      <c r="D51" s="3">
        <f>IFERROR(VLOOKUP(C51,'Master data'!$B$2:$C$4,2,FALSE),0)</f>
        <v/>
      </c>
      <c r="Q51" s="25" t="n"/>
      <c r="R51" s="26">
        <f>IF(Q51="X",1,0)</f>
        <v/>
      </c>
      <c r="T51" s="13" t="n"/>
    </row>
    <row r="52" customFormat="1" s="6">
      <c r="Q52" s="25" t="n"/>
      <c r="R52" s="25" t="n"/>
      <c r="T52" s="13" t="n"/>
    </row>
    <row r="53" customFormat="1" s="6">
      <c r="Q53" s="25" t="n"/>
      <c r="R53" s="25" t="n"/>
      <c r="T53" s="13" t="n"/>
    </row>
    <row r="54" customFormat="1" s="6">
      <c r="Q54" s="25" t="n"/>
      <c r="R54" s="25" t="n"/>
      <c r="T54" s="13" t="n"/>
    </row>
    <row r="55" customFormat="1" s="6">
      <c r="Q55" s="25" t="n"/>
      <c r="R55" s="25" t="n"/>
      <c r="T55" s="13" t="n"/>
    </row>
  </sheetData>
  <mergeCells count="6">
    <mergeCell ref="A9:A12"/>
    <mergeCell ref="A3:A8"/>
    <mergeCell ref="K1:O1"/>
    <mergeCell ref="C1:I1"/>
    <mergeCell ref="S1:S2"/>
    <mergeCell ref="Q1:Q2"/>
  </mergeCells>
  <conditionalFormatting sqref="C3:O12">
    <cfRule type="expression" priority="1" dxfId="4">
      <formula>D3=3</formula>
    </cfRule>
    <cfRule type="expression" priority="2" dxfId="3">
      <formula>D3=1</formula>
    </cfRule>
    <cfRule type="expression" priority="3" dxfId="2">
      <formula>D3=2</formula>
    </cfRule>
  </conditionalFormatting>
  <conditionalFormatting sqref="Q3:Q12">
    <cfRule type="cellIs" priority="11" operator="equal" dxfId="1">
      <formula>"X"</formula>
    </cfRule>
    <cfRule type="cellIs" priority="13" operator="equal" dxfId="0">
      <formula>""</formula>
    </cfRule>
  </conditionalFormatting>
  <conditionalFormatting sqref="S3:S12">
    <cfRule type="colorScale" priority="25">
      <colorScale>
        <cfvo type="min"/>
        <cfvo type="max"/>
        <color rgb="FFD9FFFF"/>
        <color rgb="FF00FFFF"/>
      </colorScale>
    </cfRule>
  </conditionalFormatting>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M48"/>
  <sheetViews>
    <sheetView workbookViewId="0">
      <selection activeCell="A1" sqref="A1"/>
    </sheetView>
  </sheetViews>
  <sheetFormatPr baseColWidth="10" defaultColWidth="8.83203125" defaultRowHeight="15"/>
  <cols>
    <col width="13.83203125" customWidth="1" style="113" min="1" max="5"/>
    <col width="35.83203125" customWidth="1" style="113" min="6" max="6"/>
    <col width="13.83203125" customWidth="1" style="113" min="7" max="13"/>
  </cols>
  <sheetData>
    <row r="1">
      <c r="A1" s="102" t="n"/>
      <c r="B1" s="105" t="n"/>
      <c r="C1" s="106" t="n"/>
      <c r="D1" s="102" t="n"/>
      <c r="E1" s="102" t="n"/>
      <c r="F1" s="106" t="n"/>
      <c r="G1" s="106" t="n"/>
      <c r="H1" s="102" t="n"/>
      <c r="I1" s="102" t="n"/>
      <c r="J1" s="102" t="n"/>
      <c r="K1" s="102" t="n"/>
      <c r="L1" s="102" t="n"/>
      <c r="M1" s="106" t="n"/>
    </row>
    <row r="2" ht="16" customHeight="1" s="113">
      <c r="A2" s="109" t="inlineStr">
        <is>
          <t>#</t>
        </is>
      </c>
      <c r="B2" s="107" t="inlineStr">
        <is>
          <t>ACCOUNT</t>
        </is>
      </c>
      <c r="C2" s="107" t="inlineStr">
        <is>
          <t>Flag (ignore)</t>
        </is>
      </c>
      <c r="D2" s="49" t="inlineStr">
        <is>
          <t>REGION</t>
        </is>
      </c>
      <c r="E2" s="107" t="inlineStr">
        <is>
          <t>INDUSTRY</t>
        </is>
      </c>
      <c r="F2" s="107" t="inlineStr">
        <is>
          <t>USE CASES (including Agent Name)</t>
        </is>
      </c>
      <c r="G2" s="107" t="inlineStr">
        <is>
          <t>Project POC (Ent ID)</t>
        </is>
      </c>
      <c r="H2" s="107" t="inlineStr">
        <is>
          <t>Project Status (Pipeline, In Progress, Completed)</t>
        </is>
      </c>
      <c r="I2" s="107" t="inlineStr">
        <is>
          <t xml:space="preserve">Production Status (In Production, In development, On Hold) </t>
        </is>
      </c>
      <c r="J2" s="107" t="inlineStr">
        <is>
          <t>Reasoning for Production / No Production</t>
        </is>
      </c>
      <c r="K2" s="107" t="inlineStr">
        <is>
          <t>Roadmap Created? (Yes/No)</t>
        </is>
      </c>
      <c r="L2" s="107" t="inlineStr">
        <is>
          <t>Funding Type (Salesforce Funded, Accenture Funded, Client Funded)</t>
        </is>
      </c>
      <c r="M2" s="107" t="inlineStr">
        <is>
          <t>Owner</t>
        </is>
      </c>
    </row>
    <row r="3" ht="57.75" customHeight="1" s="113">
      <c r="A3" s="104" t="n"/>
      <c r="B3" s="104" t="n"/>
      <c r="C3" s="104" t="n"/>
      <c r="D3" s="50" t="inlineStr">
        <is>
          <t>(AMERICA/EMEA/APAC/Innovation/Others)</t>
        </is>
      </c>
      <c r="E3" s="104" t="n"/>
      <c r="F3" s="104" t="n"/>
      <c r="G3" s="104" t="n"/>
      <c r="H3" s="104" t="n"/>
      <c r="I3" s="104" t="n"/>
      <c r="J3" s="104" t="n"/>
      <c r="K3" s="104" t="n"/>
      <c r="L3" s="104" t="n"/>
      <c r="M3" s="104" t="n"/>
    </row>
    <row r="4" ht="16" customHeight="1" s="113">
      <c r="A4" s="102" t="n">
        <v>1</v>
      </c>
      <c r="B4" s="105" t="inlineStr">
        <is>
          <t>Illumina</t>
        </is>
      </c>
      <c r="C4" s="106" t="n"/>
      <c r="D4" s="102" t="inlineStr">
        <is>
          <t>AMERICA</t>
        </is>
      </c>
      <c r="E4" s="102" t="inlineStr">
        <is>
          <t>Life Science</t>
        </is>
      </c>
      <c r="F4" s="51" t="inlineStr">
        <is>
          <t>Knowledge Grounded Emails,</t>
        </is>
      </c>
      <c r="G4" s="108" t="n"/>
      <c r="H4" s="102" t="inlineStr">
        <is>
          <t>Completed</t>
        </is>
      </c>
      <c r="I4" s="102" t="inlineStr">
        <is>
          <t>In Production</t>
        </is>
      </c>
      <c r="J4" s="102" t="inlineStr">
        <is>
          <t>Market Demand</t>
        </is>
      </c>
      <c r="K4" s="102" t="inlineStr">
        <is>
          <t>No</t>
        </is>
      </c>
      <c r="L4" s="102" t="inlineStr">
        <is>
          <t>Client funded</t>
        </is>
      </c>
      <c r="M4" s="106" t="inlineStr">
        <is>
          <t>Sitansu</t>
        </is>
      </c>
    </row>
    <row r="5" ht="43.5" customHeight="1" s="113">
      <c r="A5" s="104" t="n"/>
      <c r="B5" s="104" t="n"/>
      <c r="C5" s="104" t="n"/>
      <c r="D5" s="104" t="n"/>
      <c r="E5" s="104" t="n"/>
      <c r="F5" s="52" t="inlineStr">
        <is>
          <t>Case Summaries, and generate email with integrated order data from salesforce</t>
        </is>
      </c>
      <c r="G5" s="104" t="n"/>
      <c r="H5" s="104" t="n"/>
      <c r="I5" s="104" t="n"/>
      <c r="J5" s="104" t="n"/>
      <c r="K5" s="104" t="n"/>
      <c r="L5" s="104" t="n"/>
      <c r="M5" s="104" t="n"/>
    </row>
    <row r="6" ht="43.5" customHeight="1" s="113">
      <c r="A6" s="53" t="n">
        <v>2</v>
      </c>
      <c r="B6" s="54" t="inlineStr">
        <is>
          <t>Boston Scientific</t>
        </is>
      </c>
      <c r="C6" s="106" t="n"/>
      <c r="D6" s="53" t="inlineStr">
        <is>
          <t>AMERICA</t>
        </is>
      </c>
      <c r="E6" s="53" t="inlineStr">
        <is>
          <t>Life Science</t>
        </is>
      </c>
      <c r="F6" s="108" t="inlineStr">
        <is>
          <t>Knowledge Grounded Emails, Account  Summaries, and voice to action while logging a call in salesforce</t>
        </is>
      </c>
      <c r="G6" s="108" t="n"/>
      <c r="H6" s="53" t="inlineStr">
        <is>
          <t>Completed</t>
        </is>
      </c>
      <c r="I6" s="53" t="inlineStr">
        <is>
          <t>In Production</t>
        </is>
      </c>
      <c r="J6" s="53" t="inlineStr">
        <is>
          <t>Market Demand</t>
        </is>
      </c>
      <c r="K6" s="53" t="inlineStr">
        <is>
          <t>No</t>
        </is>
      </c>
      <c r="L6" s="53" t="inlineStr">
        <is>
          <t>Client funded</t>
        </is>
      </c>
      <c r="M6" s="56" t="inlineStr">
        <is>
          <t>Sitansu</t>
        </is>
      </c>
    </row>
    <row r="7" ht="159" customHeight="1" s="113">
      <c r="A7" s="53" t="n">
        <v>3</v>
      </c>
      <c r="B7" s="54" t="inlineStr">
        <is>
          <t>Stryker 1.0</t>
        </is>
      </c>
      <c r="C7" s="106" t="n"/>
      <c r="D7" s="53" t="inlineStr">
        <is>
          <t>AMERICA</t>
        </is>
      </c>
      <c r="E7" s="53" t="inlineStr">
        <is>
          <t>Life Science</t>
        </is>
      </c>
      <c r="F7" s="108" t="inlineStr">
        <is>
          <t>Duplicate case retrieval and case update.Identfying missing information in  a case and showing it in the agent conversation.Data cloud reports/Dashboard for monitoring credits getting consumed in each session , as well as user based consumtion.Updatring the agentic conversation in the custom rich text field in Salesforce.Drafting  an email with the summary so that it can be sent to the user.</t>
        </is>
      </c>
      <c r="G7" s="108" t="n"/>
      <c r="H7" s="53" t="inlineStr">
        <is>
          <t>Completed</t>
        </is>
      </c>
      <c r="I7" s="53" t="inlineStr">
        <is>
          <t>In Production</t>
        </is>
      </c>
      <c r="J7" s="102" t="n"/>
      <c r="K7" s="102" t="n"/>
      <c r="L7" s="102" t="n"/>
      <c r="M7" s="106" t="n"/>
    </row>
    <row r="8" ht="72.75" customHeight="1" s="113">
      <c r="A8" s="53" t="n">
        <v>4</v>
      </c>
      <c r="B8" s="54" t="inlineStr">
        <is>
          <t>Stryker 2.0</t>
        </is>
      </c>
      <c r="C8" s="106" t="n"/>
      <c r="D8" s="53" t="inlineStr">
        <is>
          <t>AMERICA</t>
        </is>
      </c>
      <c r="E8" s="53" t="inlineStr">
        <is>
          <t>Life Science</t>
        </is>
      </c>
      <c r="F8" s="108" t="inlineStr">
        <is>
          <t>Implemented the requirement of Stryker 1.0 with Employee Agent.Also Created few more reports Data cloud reports for the Agent Credits consumption with respect to specific employee agent.</t>
        </is>
      </c>
      <c r="G8" s="108" t="n"/>
      <c r="H8" s="53" t="inlineStr">
        <is>
          <t>Completed</t>
        </is>
      </c>
      <c r="I8" s="53" t="inlineStr">
        <is>
          <t>In Production</t>
        </is>
      </c>
      <c r="J8" s="102" t="n"/>
      <c r="K8" s="102" t="n"/>
      <c r="L8" s="102" t="n"/>
      <c r="M8" s="106" t="n"/>
    </row>
    <row r="9" ht="115.5" customHeight="1" s="113">
      <c r="A9" s="53" t="n">
        <v>5</v>
      </c>
      <c r="B9" s="54" t="inlineStr">
        <is>
          <t>CES SF POC</t>
        </is>
      </c>
      <c r="C9" s="106" t="n"/>
      <c r="D9" s="53" t="inlineStr">
        <is>
          <t>AMERICA</t>
        </is>
      </c>
      <c r="E9" s="53" t="inlineStr">
        <is>
          <t>Telecom</t>
        </is>
      </c>
      <c r="F9" s="108" t="inlineStr">
        <is>
          <t>Enhanced Agentforce capabilities by integrating it with the Google CES agent using the Agent API.Leveraged Data cloud Data library to store the knowledge articles which can be used by the agent to suggest trouble shooting steps before actually suggesting an upgraded Internet plan.</t>
        </is>
      </c>
      <c r="G9" s="108" t="n"/>
      <c r="H9" s="53" t="inlineStr">
        <is>
          <t>Completed</t>
        </is>
      </c>
      <c r="I9" s="53" t="inlineStr">
        <is>
          <t>In Production</t>
        </is>
      </c>
      <c r="J9" s="102" t="n"/>
      <c r="K9" s="102" t="n"/>
      <c r="L9" s="102" t="n"/>
      <c r="M9" s="106" t="n"/>
    </row>
    <row r="10" ht="174" customHeight="1" s="113">
      <c r="A10" s="53" t="n">
        <v>6</v>
      </c>
      <c r="B10" s="54" t="inlineStr">
        <is>
          <t>Marriott</t>
        </is>
      </c>
      <c r="C10" s="106" t="n"/>
      <c r="D10" s="53" t="inlineStr">
        <is>
          <t>AMERICA</t>
        </is>
      </c>
      <c r="E10" s="53" t="inlineStr">
        <is>
          <t>PRD</t>
        </is>
      </c>
      <c r="F10" s="108" t="inlineStr">
        <is>
          <t>Created a Employee Agent default for Marriott internal service rep. This use case was built to reduce the manual efforts of service representatives to search the latest facts of Marriott Properties hosted on 3rd party app. Agent will search the exact answer to the query and summarize it rather than searching up the whole hotel fact sheet. Agent will also be able to handle queries from knowledge it will summarize the related articles using RAG search.</t>
        </is>
      </c>
      <c r="G10" s="108" t="n"/>
      <c r="H10" s="53" t="inlineStr">
        <is>
          <t>Completed</t>
        </is>
      </c>
      <c r="I10" s="53" t="inlineStr">
        <is>
          <t>In Production</t>
        </is>
      </c>
      <c r="J10" s="102" t="n"/>
      <c r="K10" s="53" t="inlineStr">
        <is>
          <t>No</t>
        </is>
      </c>
      <c r="L10" s="53" t="inlineStr">
        <is>
          <t>Client funded</t>
        </is>
      </c>
      <c r="M10" s="56" t="inlineStr">
        <is>
          <t>Neetu</t>
        </is>
      </c>
    </row>
    <row r="11" ht="174" customHeight="1" s="113">
      <c r="A11" s="53" t="n">
        <v>7</v>
      </c>
      <c r="B11" s="54" t="inlineStr">
        <is>
          <t>Salesforce</t>
        </is>
      </c>
      <c r="C11" s="106" t="n"/>
      <c r="D11" s="53" t="inlineStr">
        <is>
          <t>AMERICA</t>
        </is>
      </c>
      <c r="E11" s="53" t="inlineStr">
        <is>
          <t>CMT</t>
        </is>
      </c>
      <c r="F11" s="108" t="inlineStr">
        <is>
          <t>Created a custom employee agent for Account Success team.This Employee Agent will assist for more than 2,600 CSM users/managers to assist with creating, updating, and closing Engagements. This CSM agent also offers extra capabilities like summarizing the Success Path, calculating sentiment scores, Search web &amp; Slack and handling team assignments. Furthermore, Accenture created a Sales Coach for the Success Overview custom object.​</t>
        </is>
      </c>
      <c r="G11" s="108" t="n"/>
      <c r="H11" s="53" t="inlineStr">
        <is>
          <t>In Progress</t>
        </is>
      </c>
      <c r="I11" s="53" t="inlineStr">
        <is>
          <t>In Production</t>
        </is>
      </c>
      <c r="J11" s="102" t="n"/>
      <c r="K11" s="53" t="inlineStr">
        <is>
          <t>No</t>
        </is>
      </c>
      <c r="L11" s="53" t="inlineStr">
        <is>
          <t>Client funded</t>
        </is>
      </c>
      <c r="M11" s="56" t="inlineStr">
        <is>
          <t>Neetu</t>
        </is>
      </c>
    </row>
    <row r="12" ht="174" customHeight="1" s="113">
      <c r="A12" s="53" t="n">
        <v>8</v>
      </c>
      <c r="B12" s="54" t="inlineStr">
        <is>
          <t>Proactive Adoption Agent​ ​</t>
        </is>
      </c>
      <c r="C12" s="106" t="n"/>
      <c r="D12" s="53" t="inlineStr">
        <is>
          <t>AMERICA</t>
        </is>
      </c>
      <c r="E12" s="53" t="inlineStr">
        <is>
          <t>Technology</t>
        </is>
      </c>
      <c r="F12" s="108" t="inlineStr">
        <is>
          <t>An AI-powered agent assesses customer adoption of specific features and provides personalized guidance to enhance usage. If adoption is low, it educates users on feature value, onboarding, and best practices while checking understanding and sharing relevant resources. For premier and signature customers, the agent facilitates Guide Engagements or expert-led coaching sessions to drive deeper adoption.​</t>
        </is>
      </c>
      <c r="G12" s="108" t="n"/>
      <c r="H12" s="53" t="inlineStr">
        <is>
          <t>In Progress</t>
        </is>
      </c>
      <c r="I12" s="53" t="inlineStr">
        <is>
          <t>In Development</t>
        </is>
      </c>
      <c r="J12" s="102" t="n"/>
      <c r="K12" s="102" t="n"/>
      <c r="L12" s="102" t="n"/>
      <c r="M12" s="106" t="n"/>
    </row>
    <row r="13" ht="72.75" customHeight="1" s="113">
      <c r="A13" s="102" t="n">
        <v>9</v>
      </c>
      <c r="B13" s="105" t="inlineStr">
        <is>
          <t>McKesson</t>
        </is>
      </c>
      <c r="C13" s="106" t="n"/>
      <c r="D13" s="102" t="inlineStr">
        <is>
          <t>AMERICA</t>
        </is>
      </c>
      <c r="E13" s="102" t="inlineStr">
        <is>
          <t>Healthcare</t>
        </is>
      </c>
      <c r="F13" s="51" t="inlineStr">
        <is>
          <t>An AI-powered agent autonomously identify missing information from a customer email and auto-generate a targeted and concise response to collect missing information,</t>
        </is>
      </c>
      <c r="G13" s="108" t="n"/>
      <c r="H13" s="102" t="inlineStr">
        <is>
          <t>Completed</t>
        </is>
      </c>
      <c r="I13" s="102" t="inlineStr">
        <is>
          <t>In Production</t>
        </is>
      </c>
      <c r="J13" s="102" t="inlineStr">
        <is>
          <t>Market Demand</t>
        </is>
      </c>
      <c r="K13" s="102" t="inlineStr">
        <is>
          <t>No</t>
        </is>
      </c>
      <c r="L13" s="102" t="inlineStr">
        <is>
          <t>Clinet Funded</t>
        </is>
      </c>
      <c r="M13" s="105" t="inlineStr">
        <is>
          <t>Sitansu</t>
        </is>
      </c>
    </row>
    <row r="14" ht="43.5" customHeight="1" s="113">
      <c r="A14" s="103" t="n"/>
      <c r="B14" s="103" t="n"/>
      <c r="C14" s="103" t="n"/>
      <c r="D14" s="103" t="n"/>
      <c r="E14" s="103" t="n"/>
      <c r="F14" s="57" t="inlineStr">
        <is>
          <t>Recommend knowledge articles to support the customer request and use selected article in response generation,</t>
        </is>
      </c>
      <c r="G14" s="103" t="n"/>
      <c r="H14" s="103" t="n"/>
      <c r="I14" s="103" t="n"/>
      <c r="J14" s="103" t="n"/>
      <c r="K14" s="103" t="n"/>
      <c r="L14" s="103" t="n"/>
      <c r="M14" s="103" t="n"/>
    </row>
    <row r="15" ht="29.25" customHeight="1" s="113">
      <c r="A15" s="103" t="n"/>
      <c r="B15" s="103" t="n"/>
      <c r="C15" s="103" t="n"/>
      <c r="D15" s="103" t="n"/>
      <c r="E15" s="103" t="n"/>
      <c r="F15" s="57" t="inlineStr">
        <is>
          <t>Generate a case summary with customer sentiment</t>
        </is>
      </c>
      <c r="G15" s="103" t="n"/>
      <c r="H15" s="103" t="n"/>
      <c r="I15" s="103" t="n"/>
      <c r="J15" s="103" t="n"/>
      <c r="K15" s="103" t="n"/>
      <c r="L15" s="103" t="n"/>
      <c r="M15" s="103" t="n"/>
    </row>
    <row r="16" ht="29.25" customHeight="1" s="113">
      <c r="A16" s="104" t="n"/>
      <c r="B16" s="104" t="n"/>
      <c r="C16" s="104" t="n"/>
      <c r="D16" s="104" t="n"/>
      <c r="E16" s="104" t="n"/>
      <c r="F16" s="52" t="inlineStr">
        <is>
          <t>Take in additional thread context from the case beyond incoming email (started)</t>
        </is>
      </c>
      <c r="G16" s="104" t="n"/>
      <c r="H16" s="104" t="n"/>
      <c r="I16" s="104" t="n"/>
      <c r="J16" s="104" t="n"/>
      <c r="K16" s="104" t="n"/>
      <c r="L16" s="104" t="n"/>
      <c r="M16" s="104" t="n"/>
    </row>
    <row r="17" ht="72.75" customHeight="1" s="113">
      <c r="A17" s="102" t="n">
        <v>10</v>
      </c>
      <c r="B17" s="105" t="inlineStr">
        <is>
          <t>Net Zero Cloud</t>
        </is>
      </c>
      <c r="C17" s="106" t="n"/>
      <c r="D17" s="102" t="inlineStr">
        <is>
          <t>AMERICA</t>
        </is>
      </c>
      <c r="E17" s="102" t="inlineStr">
        <is>
          <t>Sustainibility</t>
        </is>
      </c>
      <c r="F17" s="51" t="inlineStr">
        <is>
          <t>The FY25 Supplier Portal roadmap uses Generative AI and deep data integration to modernize procurement—shifting from manual reviews to automated, insight-driven decision-making.</t>
        </is>
      </c>
      <c r="G17" s="106" t="n"/>
      <c r="H17" s="102" t="inlineStr">
        <is>
          <t>Completed</t>
        </is>
      </c>
      <c r="I17" s="102" t="inlineStr">
        <is>
          <t>In Production</t>
        </is>
      </c>
      <c r="J17" s="102" t="n"/>
      <c r="K17" s="102" t="n"/>
      <c r="L17" s="102" t="n"/>
      <c r="M17" s="106" t="n"/>
    </row>
    <row r="18" ht="16" customHeight="1" s="113">
      <c r="A18" s="103" t="n"/>
      <c r="B18" s="103" t="n"/>
      <c r="C18" s="103" t="n"/>
      <c r="D18" s="103" t="n"/>
      <c r="E18" s="103" t="n"/>
      <c r="F18" s="57" t="inlineStr">
        <is>
          <t>Core capabilities and value:</t>
        </is>
      </c>
      <c r="G18" s="103" t="n"/>
      <c r="H18" s="103" t="n"/>
      <c r="I18" s="103" t="n"/>
      <c r="J18" s="103" t="n"/>
      <c r="K18" s="103" t="n"/>
      <c r="L18" s="103" t="n"/>
      <c r="M18" s="103" t="n"/>
    </row>
    <row r="19" ht="72.75" customHeight="1" s="113">
      <c r="A19" s="103" t="n"/>
      <c r="B19" s="103" t="n"/>
      <c r="C19" s="103" t="n"/>
      <c r="D19" s="103" t="n"/>
      <c r="E19" s="103" t="n"/>
      <c r="F19" s="58" t="inlineStr">
        <is>
          <t>GenAI Supplier Assessment: Automatically analyzes supplier surveys to assess decarbonization readiness, delivering faster, actionable insights.</t>
        </is>
      </c>
      <c r="G19" s="103" t="n"/>
      <c r="H19" s="103" t="n"/>
      <c r="I19" s="103" t="n"/>
      <c r="J19" s="103" t="n"/>
      <c r="K19" s="103" t="n"/>
      <c r="L19" s="103" t="n"/>
      <c r="M19" s="103" t="n"/>
    </row>
    <row r="20" ht="57.75" customHeight="1" s="113">
      <c r="A20" s="103" t="n"/>
      <c r="B20" s="103" t="n"/>
      <c r="C20" s="103" t="n"/>
      <c r="D20" s="103" t="n"/>
      <c r="E20" s="103" t="n"/>
      <c r="F20" s="58" t="inlineStr">
        <is>
          <t>AI ESG Scoring: Applies a consistent, configurable AI framework to score and benchmark supplier sustainability performance.</t>
        </is>
      </c>
      <c r="G20" s="103" t="n"/>
      <c r="H20" s="103" t="n"/>
      <c r="I20" s="103" t="n"/>
      <c r="J20" s="103" t="n"/>
      <c r="K20" s="103" t="n"/>
      <c r="L20" s="103" t="n"/>
      <c r="M20" s="103" t="n"/>
    </row>
    <row r="21" ht="57.75" customHeight="1" s="113">
      <c r="A21" s="103" t="n"/>
      <c r="B21" s="103" t="n"/>
      <c r="C21" s="103" t="n"/>
      <c r="D21" s="103" t="n"/>
      <c r="E21" s="103" t="n"/>
      <c r="F21" s="58" t="inlineStr">
        <is>
          <t>Supplier Profile Dashboard: Provides a centralized, visual view of ESG ratings, risks, trends, and action items for greater transparency.</t>
        </is>
      </c>
      <c r="G21" s="103" t="n"/>
      <c r="H21" s="103" t="n"/>
      <c r="I21" s="103" t="n"/>
      <c r="J21" s="103" t="n"/>
      <c r="K21" s="103" t="n"/>
      <c r="L21" s="103" t="n"/>
      <c r="M21" s="103" t="n"/>
    </row>
    <row r="22" ht="57.75" customHeight="1" s="113">
      <c r="A22" s="103" t="n"/>
      <c r="B22" s="103" t="n"/>
      <c r="C22" s="103" t="n"/>
      <c r="D22" s="103" t="n"/>
      <c r="E22" s="103" t="n"/>
      <c r="F22" s="58" t="inlineStr">
        <is>
          <t>ESG Compass (for Suppliers): Enables peer benchmarking and guidance to help suppliers identify gaps and improve ESG performance.</t>
        </is>
      </c>
      <c r="G22" s="103" t="n"/>
      <c r="H22" s="103" t="n"/>
      <c r="I22" s="103" t="n"/>
      <c r="J22" s="103" t="n"/>
      <c r="K22" s="103" t="n"/>
      <c r="L22" s="103" t="n"/>
      <c r="M22" s="103" t="n"/>
    </row>
    <row r="23" ht="57.75" customHeight="1" s="113">
      <c r="A23" s="103" t="n"/>
      <c r="B23" s="103" t="n"/>
      <c r="C23" s="103" t="n"/>
      <c r="D23" s="103" t="n"/>
      <c r="E23" s="103" t="n"/>
      <c r="F23" s="58" t="inlineStr">
        <is>
          <t>Supplier Improvement Plans: Auto-generates tailored improvement actions to drive accountability, risk mitigation, and progress.</t>
        </is>
      </c>
      <c r="G23" s="103" t="n"/>
      <c r="H23" s="103" t="n"/>
      <c r="I23" s="103" t="n"/>
      <c r="J23" s="103" t="n"/>
      <c r="K23" s="103" t="n"/>
      <c r="L23" s="103" t="n"/>
      <c r="M23" s="103" t="n"/>
    </row>
    <row r="24" ht="16" customHeight="1" s="113">
      <c r="A24" s="103" t="n"/>
      <c r="B24" s="103" t="n"/>
      <c r="C24" s="103" t="n"/>
      <c r="D24" s="103" t="n"/>
      <c r="E24" s="103" t="n"/>
      <c r="F24" s="57" t="inlineStr">
        <is>
          <t>Overall impact:</t>
        </is>
      </c>
      <c r="G24" s="103" t="n"/>
      <c r="H24" s="103" t="n"/>
      <c r="I24" s="103" t="n"/>
      <c r="J24" s="103" t="n"/>
      <c r="K24" s="103" t="n"/>
      <c r="L24" s="103" t="n"/>
      <c r="M24" s="103" t="n"/>
    </row>
    <row r="25" ht="72.75" customHeight="1" s="113">
      <c r="A25" s="104" t="n"/>
      <c r="B25" s="104" t="n"/>
      <c r="C25" s="104" t="n"/>
      <c r="D25" s="104" t="n"/>
      <c r="E25" s="104" t="n"/>
      <c r="F25" s="52" t="inlineStr">
        <is>
          <t>Faster insights, data-driven ESG decisions, improved transparency, proactive risk management, and stronger supplier engagement on sustainability and decarbonization.</t>
        </is>
      </c>
      <c r="G25" s="104" t="n"/>
      <c r="H25" s="104" t="n"/>
      <c r="I25" s="104" t="n"/>
      <c r="J25" s="104" t="n"/>
      <c r="K25" s="104" t="n"/>
      <c r="L25" s="104" t="n"/>
      <c r="M25" s="104" t="n"/>
    </row>
    <row r="26" ht="87" customHeight="1" s="113">
      <c r="A26" s="102" t="n">
        <v>11</v>
      </c>
      <c r="B26" s="105" t="inlineStr">
        <is>
          <t>ACIS</t>
        </is>
      </c>
      <c r="C26" s="106" t="n"/>
      <c r="D26" s="102" t="inlineStr">
        <is>
          <t>AMERICA</t>
        </is>
      </c>
      <c r="E26" s="102" t="inlineStr">
        <is>
          <t>Public Sector</t>
        </is>
      </c>
      <c r="F26" s="60" t="inlineStr">
        <is>
          <t>1. Agent should automate the intake process by listening to callers and populating fields in any order. Data should be captured in a structured format. Call should be automatically transcribed as the call is going.</t>
        </is>
      </c>
      <c r="G26" s="106" t="n"/>
      <c r="H26" s="102" t="inlineStr">
        <is>
          <t>In Progress</t>
        </is>
      </c>
      <c r="I26" s="102" t="inlineStr">
        <is>
          <t>In Development</t>
        </is>
      </c>
      <c r="J26" s="102" t="n"/>
      <c r="K26" s="102" t="inlineStr">
        <is>
          <t>Yes</t>
        </is>
      </c>
      <c r="L26" s="102" t="inlineStr">
        <is>
          <t>Accenture Funded</t>
        </is>
      </c>
      <c r="M26" s="106" t="inlineStr">
        <is>
          <t>Ankur Omar</t>
        </is>
      </c>
    </row>
    <row r="27" ht="43.5" customHeight="1" s="113">
      <c r="A27" s="103" t="n"/>
      <c r="B27" s="103" t="n"/>
      <c r="C27" s="103" t="n"/>
      <c r="D27" s="103" t="n"/>
      <c r="E27" s="103" t="n"/>
      <c r="F27" s="61" t="inlineStr">
        <is>
          <t>2. Agent should generate appropriate forms based on data received from the call.</t>
        </is>
      </c>
      <c r="G27" s="103" t="n"/>
      <c r="H27" s="103" t="n"/>
      <c r="I27" s="103" t="n"/>
      <c r="J27" s="103" t="n"/>
      <c r="K27" s="103" t="n"/>
      <c r="L27" s="103" t="n"/>
      <c r="M27" s="103" t="n"/>
    </row>
    <row r="28" ht="101.25" customHeight="1" s="113">
      <c r="A28" s="103" t="n"/>
      <c r="B28" s="103" t="n"/>
      <c r="C28" s="103" t="n"/>
      <c r="D28" s="103" t="n"/>
      <c r="E28" s="103" t="n"/>
      <c r="F28" s="61" t="inlineStr">
        <is>
          <t>3. Agent should coach the caseworker to ensure all required information is captured (even if out of order or incorrect). For example, if the address is not correct, the agent should prompt user to fix it (in real-time). Or prompt back if data is missing.</t>
        </is>
      </c>
      <c r="G28" s="103" t="n"/>
      <c r="H28" s="103" t="n"/>
      <c r="I28" s="103" t="n"/>
      <c r="J28" s="103" t="n"/>
      <c r="K28" s="103" t="n"/>
      <c r="L28" s="103" t="n"/>
      <c r="M28" s="103" t="n"/>
    </row>
    <row r="29" ht="16" customHeight="1" s="113">
      <c r="A29" s="103" t="n"/>
      <c r="B29" s="103" t="n"/>
      <c r="C29" s="103" t="n"/>
      <c r="D29" s="103" t="n"/>
      <c r="E29" s="103" t="n"/>
      <c r="F29" s="61" t="inlineStr">
        <is>
          <t>Summarize of case</t>
        </is>
      </c>
      <c r="G29" s="103" t="n"/>
      <c r="H29" s="103" t="n"/>
      <c r="I29" s="103" t="n"/>
      <c r="J29" s="103" t="n"/>
      <c r="K29" s="103" t="n"/>
      <c r="L29" s="103" t="n"/>
      <c r="M29" s="103" t="n"/>
    </row>
    <row r="30" ht="43.5" customHeight="1" s="113">
      <c r="A30" s="104" t="n"/>
      <c r="B30" s="104" t="n"/>
      <c r="C30" s="104" t="n"/>
      <c r="D30" s="104" t="n"/>
      <c r="E30" s="104" t="n"/>
      <c r="F30" s="62" t="inlineStr">
        <is>
          <t>4. Agent should recommends services/programs proven effective for similar demographic profiles</t>
        </is>
      </c>
      <c r="G30" s="104" t="n"/>
      <c r="H30" s="104" t="n"/>
      <c r="I30" s="104" t="n"/>
      <c r="J30" s="104" t="n"/>
      <c r="K30" s="104" t="n"/>
      <c r="L30" s="104" t="n"/>
      <c r="M30" s="104" t="n"/>
    </row>
    <row r="31">
      <c r="A31" s="53" t="n">
        <v>12</v>
      </c>
      <c r="B31" s="54" t="inlineStr">
        <is>
          <t>Virtual Sales Agent</t>
        </is>
      </c>
      <c r="C31" s="106" t="n"/>
      <c r="D31" s="102" t="n"/>
      <c r="E31" s="53" t="inlineStr">
        <is>
          <t>Auto Cloud</t>
        </is>
      </c>
      <c r="F31" s="63" t="n"/>
      <c r="G31" s="106" t="n"/>
      <c r="H31" s="102" t="n"/>
      <c r="I31" s="102" t="n"/>
      <c r="J31" s="102" t="n"/>
      <c r="K31" s="102" t="n"/>
      <c r="L31" s="102" t="n"/>
      <c r="M31" s="106" t="n"/>
    </row>
    <row r="32">
      <c r="A32" s="53" t="n">
        <v>13</v>
      </c>
      <c r="B32" s="54" t="inlineStr">
        <is>
          <t>Proactive Service Agent</t>
        </is>
      </c>
      <c r="C32" s="106" t="n"/>
      <c r="D32" s="102" t="n"/>
      <c r="E32" s="53" t="inlineStr">
        <is>
          <t>Auto Cloud</t>
        </is>
      </c>
      <c r="F32" s="63" t="n"/>
      <c r="G32" s="106" t="n"/>
      <c r="H32" s="102" t="n"/>
      <c r="I32" s="102" t="n"/>
      <c r="J32" s="102" t="n"/>
      <c r="K32" s="102" t="n"/>
      <c r="L32" s="102" t="n"/>
      <c r="M32" s="106" t="n"/>
    </row>
    <row r="33" ht="16" customHeight="1" s="113">
      <c r="A33" s="102" t="n">
        <v>14</v>
      </c>
      <c r="B33" s="105" t="inlineStr">
        <is>
          <t xml:space="preserve">B2B Sales </t>
        </is>
      </c>
      <c r="C33" s="106" t="n"/>
      <c r="D33" s="102" t="inlineStr">
        <is>
          <t>AMERICA</t>
        </is>
      </c>
      <c r="E33" s="102" t="inlineStr">
        <is>
          <t>Sales Cloud</t>
        </is>
      </c>
      <c r="F33" s="60" t="inlineStr">
        <is>
          <t>Key Themes &amp; Use Cases for B2B Sales:</t>
        </is>
      </c>
      <c r="G33" s="106" t="inlineStr">
        <is>
          <t>manoj.b.kumar.mishra</t>
        </is>
      </c>
      <c r="H33" s="102" t="inlineStr">
        <is>
          <t>In Progress</t>
        </is>
      </c>
      <c r="I33" s="102" t="inlineStr">
        <is>
          <t>In Production</t>
        </is>
      </c>
      <c r="J33" s="102" t="inlineStr">
        <is>
          <t>Market Demand</t>
        </is>
      </c>
      <c r="K33" s="102" t="inlineStr">
        <is>
          <t>Yes</t>
        </is>
      </c>
      <c r="L33" s="102" t="inlineStr">
        <is>
          <t>Accenture Funded</t>
        </is>
      </c>
      <c r="M33" s="106" t="inlineStr">
        <is>
          <t>Manoj</t>
        </is>
      </c>
    </row>
    <row r="34" ht="29.25" customHeight="1" s="113">
      <c r="A34" s="103" t="n"/>
      <c r="B34" s="103" t="n"/>
      <c r="C34" s="103" t="n"/>
      <c r="D34" s="103" t="n"/>
      <c r="E34" s="103" t="n"/>
      <c r="F34" s="64" t="inlineStr">
        <is>
          <t>AI-Driven Sales Productivity (Employee Agent):</t>
        </is>
      </c>
      <c r="G34" s="103" t="n"/>
      <c r="H34" s="103" t="n"/>
      <c r="I34" s="103" t="n"/>
      <c r="J34" s="103" t="n"/>
      <c r="K34" s="103" t="n"/>
      <c r="L34" s="103" t="n"/>
      <c r="M34" s="103" t="n"/>
    </row>
    <row r="35">
      <c r="A35" s="103" t="n"/>
      <c r="B35" s="103" t="n"/>
      <c r="C35" s="103" t="n"/>
      <c r="D35" s="103" t="n"/>
      <c r="E35" s="103" t="n"/>
      <c r="F35" s="65" t="n"/>
      <c r="G35" s="103" t="n"/>
      <c r="H35" s="103" t="n"/>
      <c r="I35" s="103" t="n"/>
      <c r="J35" s="103" t="n"/>
      <c r="K35" s="103" t="n"/>
      <c r="L35" s="103" t="n"/>
      <c r="M35" s="103" t="n"/>
    </row>
    <row r="36" ht="29.25" customHeight="1" s="113">
      <c r="A36" s="103" t="n"/>
      <c r="B36" s="103" t="n"/>
      <c r="C36" s="103" t="n"/>
      <c r="D36" s="103" t="n"/>
      <c r="E36" s="103" t="n"/>
      <c r="F36" s="61" t="inlineStr">
        <is>
          <t>1. Daily task prioritization and prospecting</t>
        </is>
      </c>
      <c r="G36" s="103" t="n"/>
      <c r="H36" s="103" t="n"/>
      <c r="I36" s="103" t="n"/>
      <c r="J36" s="103" t="n"/>
      <c r="K36" s="103" t="n"/>
      <c r="L36" s="103" t="n"/>
      <c r="M36" s="103" t="n"/>
    </row>
    <row r="37" ht="29.25" customHeight="1" s="113">
      <c r="A37" s="103" t="n"/>
      <c r="B37" s="103" t="n"/>
      <c r="C37" s="103" t="n"/>
      <c r="D37" s="103" t="n"/>
      <c r="E37" s="103" t="n"/>
      <c r="F37" s="61" t="inlineStr">
        <is>
          <t>2. Automated opportunity and quote creation</t>
        </is>
      </c>
      <c r="G37" s="103" t="n"/>
      <c r="H37" s="103" t="n"/>
      <c r="I37" s="103" t="n"/>
      <c r="J37" s="103" t="n"/>
      <c r="K37" s="103" t="n"/>
      <c r="L37" s="103" t="n"/>
      <c r="M37" s="103" t="n"/>
    </row>
    <row r="38" ht="29.25" customHeight="1" s="113">
      <c r="A38" s="103" t="n"/>
      <c r="B38" s="103" t="n"/>
      <c r="C38" s="103" t="n"/>
      <c r="D38" s="103" t="n"/>
      <c r="E38" s="103" t="n"/>
      <c r="F38" s="61" t="inlineStr">
        <is>
          <t>3. Intelligent product and discount recommendations</t>
        </is>
      </c>
      <c r="G38" s="103" t="n"/>
      <c r="H38" s="103" t="n"/>
      <c r="I38" s="103" t="n"/>
      <c r="J38" s="103" t="n"/>
      <c r="K38" s="103" t="n"/>
      <c r="L38" s="103" t="n"/>
      <c r="M38" s="103" t="n"/>
    </row>
    <row r="39" ht="29.25" customHeight="1" s="113">
      <c r="A39" s="103" t="n"/>
      <c r="B39" s="103" t="n"/>
      <c r="C39" s="103" t="n"/>
      <c r="D39" s="103" t="n"/>
      <c r="E39" s="103" t="n"/>
      <c r="F39" s="61" t="inlineStr">
        <is>
          <t>4. End-to-end quote lifecycle management</t>
        </is>
      </c>
      <c r="G39" s="103" t="n"/>
      <c r="H39" s="103" t="n"/>
      <c r="I39" s="103" t="n"/>
      <c r="J39" s="103" t="n"/>
      <c r="K39" s="103" t="n"/>
      <c r="L39" s="103" t="n"/>
      <c r="M39" s="103" t="n"/>
    </row>
    <row r="40" ht="29.25" customHeight="1" s="113">
      <c r="A40" s="103" t="n"/>
      <c r="B40" s="103" t="n"/>
      <c r="C40" s="103" t="n"/>
      <c r="D40" s="103" t="n"/>
      <c r="E40" s="103" t="n"/>
      <c r="F40" s="61" t="inlineStr">
        <is>
          <t>5. Transcript summarization and follow-up scheduling</t>
        </is>
      </c>
      <c r="G40" s="103" t="n"/>
      <c r="H40" s="103" t="n"/>
      <c r="I40" s="103" t="n"/>
      <c r="J40" s="103" t="n"/>
      <c r="K40" s="103" t="n"/>
      <c r="L40" s="103" t="n"/>
      <c r="M40" s="103" t="n"/>
    </row>
    <row r="41" ht="29.25" customHeight="1" s="113">
      <c r="A41" s="103" t="n"/>
      <c r="B41" s="103" t="n"/>
      <c r="C41" s="103" t="n"/>
      <c r="D41" s="103" t="n"/>
      <c r="E41" s="103" t="n"/>
      <c r="F41" s="64" t="inlineStr">
        <is>
          <t>Customer Retention &amp; Insights (Employee Agent):</t>
        </is>
      </c>
      <c r="G41" s="103" t="n"/>
      <c r="H41" s="103" t="n"/>
      <c r="I41" s="103" t="n"/>
      <c r="J41" s="103" t="n"/>
      <c r="K41" s="103" t="n"/>
      <c r="L41" s="103" t="n"/>
      <c r="M41" s="103" t="n"/>
    </row>
    <row r="42" ht="29.25" customHeight="1" s="113">
      <c r="A42" s="103" t="n"/>
      <c r="B42" s="103" t="n"/>
      <c r="C42" s="103" t="n"/>
      <c r="D42" s="103" t="n"/>
      <c r="E42" s="103" t="n"/>
      <c r="F42" s="61" t="inlineStr">
        <is>
          <t>1. Proactive churn detection using usage and sentiment data</t>
        </is>
      </c>
      <c r="G42" s="103" t="n"/>
      <c r="H42" s="103" t="n"/>
      <c r="I42" s="103" t="n"/>
      <c r="J42" s="103" t="n"/>
      <c r="K42" s="103" t="n"/>
      <c r="L42" s="103" t="n"/>
      <c r="M42" s="103" t="n"/>
    </row>
    <row r="43" ht="29.25" customHeight="1" s="113">
      <c r="A43" s="103" t="n"/>
      <c r="B43" s="103" t="n"/>
      <c r="C43" s="103" t="n"/>
      <c r="D43" s="103" t="n"/>
      <c r="E43" s="103" t="n"/>
      <c r="F43" s="61" t="inlineStr">
        <is>
          <t>2. Suggested retention actions (emails, follow-up tasks)</t>
        </is>
      </c>
      <c r="G43" s="103" t="n"/>
      <c r="H43" s="103" t="n"/>
      <c r="I43" s="103" t="n"/>
      <c r="J43" s="103" t="n"/>
      <c r="K43" s="103" t="n"/>
      <c r="L43" s="103" t="n"/>
      <c r="M43" s="103" t="n"/>
    </row>
    <row r="44" ht="43.5" customHeight="1" s="113">
      <c r="A44" s="103" t="n"/>
      <c r="B44" s="103" t="n"/>
      <c r="C44" s="103" t="n"/>
      <c r="D44" s="103" t="n"/>
      <c r="E44" s="103" t="n"/>
      <c r="F44" s="61" t="inlineStr">
        <is>
          <t>3. Integrated real-time knowledge and insights for sales reps (Employee Agent &amp; ADL)</t>
        </is>
      </c>
      <c r="G44" s="103" t="n"/>
      <c r="H44" s="103" t="n"/>
      <c r="I44" s="103" t="n"/>
      <c r="J44" s="103" t="n"/>
      <c r="K44" s="103" t="n"/>
      <c r="L44" s="103" t="n"/>
      <c r="M44" s="103" t="n"/>
    </row>
    <row r="45" ht="16" customHeight="1" s="113">
      <c r="A45" s="103" t="n"/>
      <c r="B45" s="103" t="n"/>
      <c r="C45" s="103" t="n"/>
      <c r="D45" s="103" t="n"/>
      <c r="E45" s="103" t="n"/>
      <c r="F45" s="64" t="inlineStr">
        <is>
          <t>Sales Enablement &amp; Coaching:</t>
        </is>
      </c>
      <c r="G45" s="103" t="n"/>
      <c r="H45" s="103" t="n"/>
      <c r="I45" s="103" t="n"/>
      <c r="J45" s="103" t="n"/>
      <c r="K45" s="103" t="n"/>
      <c r="L45" s="103" t="n"/>
      <c r="M45" s="103" t="n"/>
    </row>
    <row r="46" ht="43.5" customHeight="1" s="113">
      <c r="A46" s="103" t="n"/>
      <c r="B46" s="103" t="n"/>
      <c r="C46" s="103" t="n"/>
      <c r="D46" s="103" t="n"/>
      <c r="E46" s="103" t="n"/>
      <c r="F46" s="61" t="inlineStr">
        <is>
          <t>1. Sales Coach Agent provides real-time coaching and personalized feedback based on performance and call data</t>
        </is>
      </c>
      <c r="G46" s="103" t="n"/>
      <c r="H46" s="103" t="n"/>
      <c r="I46" s="103" t="n"/>
      <c r="J46" s="103" t="n"/>
      <c r="K46" s="103" t="n"/>
      <c r="L46" s="103" t="n"/>
      <c r="M46" s="103" t="n"/>
    </row>
    <row r="47" ht="16" customHeight="1" s="113">
      <c r="A47" s="103" t="n"/>
      <c r="B47" s="103" t="n"/>
      <c r="C47" s="103" t="n"/>
      <c r="D47" s="103" t="n"/>
      <c r="E47" s="103" t="n"/>
      <c r="F47" s="64" t="inlineStr">
        <is>
          <t>Collaboration &amp; Approvals:</t>
        </is>
      </c>
      <c r="G47" s="103" t="n"/>
      <c r="H47" s="103" t="n"/>
      <c r="I47" s="103" t="n"/>
      <c r="J47" s="103" t="n"/>
      <c r="K47" s="103" t="n"/>
      <c r="L47" s="103" t="n"/>
      <c r="M47" s="103" t="n"/>
    </row>
    <row r="48" ht="43.5" customHeight="1" s="113">
      <c r="A48" s="104" t="n"/>
      <c r="B48" s="104" t="n"/>
      <c r="C48" s="104" t="n"/>
      <c r="D48" s="104" t="n"/>
      <c r="E48" s="104" t="n"/>
      <c r="F48" s="62" t="inlineStr">
        <is>
          <t>1. Slack Agent routes notifications and approval requests directly to Slack for faster action</t>
        </is>
      </c>
      <c r="G48" s="104" t="n"/>
      <c r="H48" s="104" t="n"/>
      <c r="I48" s="104" t="n"/>
      <c r="J48" s="104" t="n"/>
      <c r="K48" s="104" t="n"/>
      <c r="L48" s="104" t="n"/>
      <c r="M48" s="104" t="n"/>
    </row>
  </sheetData>
  <mergeCells count="72">
    <mergeCell ref="I33:I48"/>
    <mergeCell ref="B17:B25"/>
    <mergeCell ref="L33:L48"/>
    <mergeCell ref="J13:J16"/>
    <mergeCell ref="C4:C5"/>
    <mergeCell ref="J26:J30"/>
    <mergeCell ref="L26:L30"/>
    <mergeCell ref="L13:L16"/>
    <mergeCell ref="H17:H25"/>
    <mergeCell ref="E4:E5"/>
    <mergeCell ref="D17:D25"/>
    <mergeCell ref="G33:G48"/>
    <mergeCell ref="M2:M3"/>
    <mergeCell ref="B2:B3"/>
    <mergeCell ref="F2:F3"/>
    <mergeCell ref="D33:D48"/>
    <mergeCell ref="H2:H3"/>
    <mergeCell ref="A26:A30"/>
    <mergeCell ref="M26:M30"/>
    <mergeCell ref="E26:E30"/>
    <mergeCell ref="E13:E16"/>
    <mergeCell ref="G26:G30"/>
    <mergeCell ref="G13:G16"/>
    <mergeCell ref="C17:C25"/>
    <mergeCell ref="I17:I25"/>
    <mergeCell ref="M33:M48"/>
    <mergeCell ref="B33:B48"/>
    <mergeCell ref="A17:A25"/>
    <mergeCell ref="K17:K25"/>
    <mergeCell ref="M17:M25"/>
    <mergeCell ref="D4:D5"/>
    <mergeCell ref="J4:J5"/>
    <mergeCell ref="L4:L5"/>
    <mergeCell ref="A2:A3"/>
    <mergeCell ref="J33:J48"/>
    <mergeCell ref="C2:C3"/>
    <mergeCell ref="E2:E3"/>
    <mergeCell ref="K2:K3"/>
    <mergeCell ref="E33:E48"/>
    <mergeCell ref="K33:K48"/>
    <mergeCell ref="B26:B30"/>
    <mergeCell ref="B13:B16"/>
    <mergeCell ref="M13:M16"/>
    <mergeCell ref="D26:D30"/>
    <mergeCell ref="D13:D16"/>
    <mergeCell ref="H26:H30"/>
    <mergeCell ref="A4:A5"/>
    <mergeCell ref="G4:G5"/>
    <mergeCell ref="H13:H16"/>
    <mergeCell ref="H33:H48"/>
    <mergeCell ref="J17:J25"/>
    <mergeCell ref="L17:L25"/>
    <mergeCell ref="I4:I5"/>
    <mergeCell ref="K4:K5"/>
    <mergeCell ref="C33:C48"/>
    <mergeCell ref="A33:A48"/>
    <mergeCell ref="J2:J3"/>
    <mergeCell ref="L2:L3"/>
    <mergeCell ref="A13:A16"/>
    <mergeCell ref="C13:C16"/>
    <mergeCell ref="M4:M5"/>
    <mergeCell ref="C26:C30"/>
    <mergeCell ref="E17:E25"/>
    <mergeCell ref="K26:K30"/>
    <mergeCell ref="I13:I16"/>
    <mergeCell ref="G17:G25"/>
    <mergeCell ref="B4:B5"/>
    <mergeCell ref="I26:I30"/>
    <mergeCell ref="K13:K16"/>
    <mergeCell ref="H4:H5"/>
    <mergeCell ref="G2:G3"/>
    <mergeCell ref="I2:I3"/>
  </mergeCells>
  <pageMargins left="0.7" right="0.7" top="0.75" bottom="0.75" header="0.3" footer="0.3"/>
</worksheet>
</file>

<file path=xl/worksheets/sheet4.xml><?xml version="1.0" encoding="utf-8"?>
<worksheet xmlns="http://schemas.openxmlformats.org/spreadsheetml/2006/main">
  <sheetPr>
    <tabColor rgb="FFFFC000"/>
    <outlinePr summaryBelow="1" summaryRight="1"/>
    <pageSetUpPr/>
  </sheetPr>
  <dimension ref="A1:AA50"/>
  <sheetViews>
    <sheetView topLeftCell="Q1" workbookViewId="0">
      <selection activeCell="W3" sqref="W3"/>
    </sheetView>
  </sheetViews>
  <sheetFormatPr baseColWidth="10" defaultColWidth="8.83203125" defaultRowHeight="15" customHeight="1"/>
  <cols>
    <col width="34.83203125" customWidth="1" style="77" min="1" max="1"/>
    <col width="42.5" customWidth="1" style="77" min="2" max="2"/>
    <col width="47.1640625" customWidth="1" style="77" min="3" max="3"/>
    <col width="28.5" customWidth="1" style="77" min="4" max="4"/>
    <col width="33.83203125" customWidth="1" style="77" min="5" max="5"/>
    <col width="44.33203125" customWidth="1" style="113" min="6" max="6"/>
    <col width="33.1640625" customWidth="1" style="113" min="7" max="7"/>
    <col width="66.5" customWidth="1" style="113" min="8" max="8"/>
    <col width="33.1640625" customWidth="1" style="113" min="9" max="27"/>
  </cols>
  <sheetData>
    <row r="1">
      <c r="A1" s="110" t="inlineStr">
        <is>
          <t>Super Agent Use Case</t>
        </is>
      </c>
      <c r="B1" s="110" t="inlineStr">
        <is>
          <t>Sub-Agent Use Cases</t>
        </is>
      </c>
      <c r="C1" s="110" t="inlineStr">
        <is>
          <t>Agent Description (short)</t>
        </is>
      </c>
      <c r="D1" s="110" t="inlineStr">
        <is>
          <t>Pain Point Addressed</t>
        </is>
      </c>
      <c r="E1" s="110" t="inlineStr">
        <is>
          <t>Agent Technology</t>
        </is>
      </c>
      <c r="F1" s="115" t="inlineStr">
        <is>
          <t>Agent Specification</t>
        </is>
      </c>
      <c r="G1" s="88" t="n"/>
      <c r="H1" s="88" t="n"/>
      <c r="I1" s="88" t="n"/>
      <c r="J1" s="89" t="n"/>
      <c r="K1" s="114" t="inlineStr">
        <is>
          <t>Existing ACN Assets</t>
        </is>
      </c>
      <c r="L1" s="87" t="inlineStr">
        <is>
          <t>Siemens Criteria</t>
        </is>
      </c>
      <c r="M1" s="88" t="n"/>
      <c r="N1" s="88" t="n"/>
      <c r="O1" s="88" t="n"/>
      <c r="P1" s="88" t="n"/>
      <c r="Q1" s="88" t="n"/>
      <c r="R1" s="88" t="n"/>
      <c r="S1" s="88" t="n"/>
      <c r="T1" s="88" t="n"/>
      <c r="U1" s="88" t="n"/>
      <c r="V1" s="88" t="n"/>
      <c r="W1" s="89" t="n"/>
      <c r="X1" s="86" t="inlineStr">
        <is>
          <t>Value x Effort</t>
        </is>
      </c>
    </row>
    <row r="2" ht="16" customFormat="1" customHeight="1" s="111">
      <c r="F2" s="31" t="inlineStr">
        <is>
          <t>Host System</t>
        </is>
      </c>
      <c r="G2" s="31" t="inlineStr">
        <is>
          <t>Input (Sources/Supplier)</t>
        </is>
      </c>
      <c r="H2" s="31" t="inlineStr">
        <is>
          <t>How does this agent technically work?</t>
        </is>
      </c>
      <c r="I2" s="31" t="inlineStr">
        <is>
          <t>Agent Output</t>
        </is>
      </c>
      <c r="J2" s="31" t="inlineStr">
        <is>
          <t>KPIs to measure business impact</t>
        </is>
      </c>
      <c r="L2" s="32" t="inlineStr">
        <is>
          <t>Business Value Potential</t>
        </is>
      </c>
      <c r="M2" s="32" t="n"/>
      <c r="N2" s="32" t="inlineStr">
        <is>
          <t>Cross-business Applicability</t>
        </is>
      </c>
      <c r="O2" s="32" t="n"/>
      <c r="P2" s="32" t="inlineStr">
        <is>
          <t>Technical Complexity &amp; Feasibility</t>
        </is>
      </c>
      <c r="Q2" s="32" t="n"/>
      <c r="R2" s="32" t="inlineStr">
        <is>
          <t>Data readiness and ACP compliance</t>
        </is>
      </c>
      <c r="S2" s="32" t="n"/>
      <c r="T2" s="32" t="inlineStr">
        <is>
          <t>Alignment with existing initiatives</t>
        </is>
      </c>
      <c r="U2" s="32" t="n"/>
      <c r="V2" s="32" t="inlineStr">
        <is>
          <t>User Impact &amp; Adoption Potential</t>
        </is>
      </c>
      <c r="W2" s="32" t="n"/>
      <c r="X2" s="83" t="inlineStr">
        <is>
          <t>Business Value</t>
        </is>
      </c>
      <c r="Y2" s="83" t="n"/>
      <c r="Z2" s="83" t="inlineStr">
        <is>
          <t>Implementation Effort</t>
        </is>
      </c>
      <c r="AA2" s="83" t="n"/>
    </row>
    <row r="3" ht="57.75" customFormat="1" customHeight="1" s="111">
      <c r="F3" s="31" t="n"/>
      <c r="G3" s="31" t="n"/>
      <c r="H3" s="31" t="n"/>
      <c r="I3" s="31" t="n"/>
      <c r="J3" s="31" t="n"/>
      <c r="K3" s="78" t="inlineStr">
        <is>
          <t>High</t>
        </is>
      </c>
      <c r="L3" s="79" t="inlineStr">
        <is>
          <t>Major penalty/loss prevention and/or direct revenue/profit driver + time to value &lt; 3 months</t>
        </is>
      </c>
      <c r="M3" s="79" t="n"/>
      <c r="N3" s="79" t="inlineStr">
        <is>
          <t>Applicable across all business divisions with minimal customization</t>
        </is>
      </c>
      <c r="O3" s="79" t="n"/>
      <c r="P3" s="79" t="inlineStr">
        <is>
          <t>Requires integration across multiple systems with different technologies (e.g., Salesforce + SAP + others), complex data orchestration needs</t>
        </is>
      </c>
      <c r="Q3" s="79" t="n"/>
      <c r="R3" s="79" t="inlineStr">
        <is>
          <t>Meets requirements: Use case can be implemented with ACP Level 2 or lower</t>
        </is>
      </c>
      <c r="S3" s="79" t="n"/>
      <c r="T3" s="79" t="inlineStr">
        <is>
          <t>Complements existing initiatives, creates synergies</t>
        </is>
      </c>
      <c r="U3" s="79" t="n"/>
      <c r="V3" s="79" t="inlineStr">
        <is>
          <t>Addresses Siemens pain point and a large user base that is employee-facing (e.g. Sales Reps)</t>
        </is>
      </c>
      <c r="W3" s="79" t="n"/>
      <c r="X3" s="66">
        <f>L3</f>
        <v/>
      </c>
      <c r="Y3" s="66" t="n"/>
      <c r="Z3" s="66" t="inlineStr">
        <is>
          <t xml:space="preserve">Requires &gt;6 months </t>
        </is>
      </c>
      <c r="AA3" s="66" t="n"/>
    </row>
    <row r="4" ht="57.75" customFormat="1" customHeight="1" s="111">
      <c r="F4" s="31" t="n"/>
      <c r="G4" s="31" t="n"/>
      <c r="H4" s="31" t="n"/>
      <c r="I4" s="31" t="n"/>
      <c r="J4" s="31" t="n"/>
      <c r="K4" s="78" t="inlineStr">
        <is>
          <t>Medium</t>
        </is>
      </c>
      <c r="L4" s="79" t="inlineStr">
        <is>
          <t>Moderate efficiency gains and/or indirect contribution + time to value 3-6 months</t>
        </is>
      </c>
      <c r="M4" s="79" t="n"/>
      <c r="N4" s="79" t="inlineStr">
        <is>
          <t>Widely applicable but requires some customization per business division</t>
        </is>
      </c>
      <c r="O4" s="79" t="n"/>
      <c r="P4" s="79" t="inlineStr">
        <is>
          <t>Requires integration between 1-2 systems on similar technology (e.g., multiple Salesforce orgs), standard data requirements</t>
        </is>
      </c>
      <c r="Q4" s="79" t="n"/>
      <c r="R4" s="78" t="inlineStr">
        <is>
          <t>-</t>
        </is>
      </c>
      <c r="S4" s="78" t="n"/>
      <c r="T4" s="79" t="inlineStr">
        <is>
          <t>No overlap, independent initiative</t>
        </is>
      </c>
      <c r="U4" s="79" t="n"/>
      <c r="V4" s="79" t="inlineStr">
        <is>
          <t>Addresses Siemens pain point and a affects a smaller number of user or user base is customer-facing</t>
        </is>
      </c>
      <c r="W4" s="79" t="n"/>
      <c r="X4" s="66">
        <f>L4</f>
        <v/>
      </c>
      <c r="Y4" s="66" t="n"/>
      <c r="Z4" s="66" t="inlineStr">
        <is>
          <t>Requires 3-6 months</t>
        </is>
      </c>
      <c r="AA4" s="66" t="n"/>
    </row>
    <row r="5" ht="57.75" customFormat="1" customHeight="1" s="111">
      <c r="F5" s="31" t="n"/>
      <c r="G5" s="31" t="n"/>
      <c r="H5" s="31" t="n"/>
      <c r="I5" s="31" t="n"/>
      <c r="J5" s="31" t="n"/>
      <c r="K5" s="78" t="inlineStr">
        <is>
          <t>Low</t>
        </is>
      </c>
      <c r="L5" s="79" t="inlineStr">
        <is>
          <t>Minor savings and/or cost savings only + time to value &gt; 6 months</t>
        </is>
      </c>
      <c r="M5" s="79" t="n"/>
      <c r="N5" s="79" t="inlineStr">
        <is>
          <t>Limited to single business division or single use case</t>
        </is>
      </c>
      <c r="O5" s="79" t="n"/>
      <c r="P5" s="79" t="inlineStr">
        <is>
          <t>Self-contained within one system (e.g., Salesforce), no external integrations required, aligns with existing AI standards</t>
        </is>
      </c>
      <c r="Q5" s="79" t="n"/>
      <c r="R5" s="79" t="inlineStr">
        <is>
          <t>Does not meet requirements: Requires ACP Level 3 or higher (potential blocker)</t>
        </is>
      </c>
      <c r="S5" s="79" t="n"/>
      <c r="T5" s="79" t="inlineStr">
        <is>
          <t>Duplicates existing efforts or conflicts with current business roadmap(s)</t>
        </is>
      </c>
      <c r="U5" s="79" t="n"/>
      <c r="V5" s="79" t="inlineStr">
        <is>
          <t>Does not address a Siemens pain point</t>
        </is>
      </c>
      <c r="W5" s="79" t="n"/>
      <c r="X5" s="66">
        <f>L5</f>
        <v/>
      </c>
      <c r="Y5" s="66" t="n"/>
      <c r="Z5" s="66" t="inlineStr">
        <is>
          <t>Can be implemented in ≤3 months</t>
        </is>
      </c>
      <c r="AA5" s="66" t="n"/>
    </row>
    <row r="6" ht="220" customFormat="1" customHeight="1" s="112">
      <c r="F6" s="69" t="inlineStr">
        <is>
          <t>What system does the agent mostly operate in</t>
        </is>
      </c>
      <c r="G6" s="69" t="inlineStr">
        <is>
          <t>What are the input sources</t>
        </is>
      </c>
      <c r="H6" s="69" t="inlineStr">
        <is>
          <t>What does the agent do, from trigger to operating mode</t>
        </is>
      </c>
      <c r="I6" s="69" t="inlineStr">
        <is>
          <t>What is the agents output</t>
        </is>
      </c>
      <c r="J6" s="69" t="inlineStr">
        <is>
          <t>How can we determine the value of each agent</t>
        </is>
      </c>
      <c r="K6" s="66" t="inlineStr">
        <is>
          <t>ACN Agentfactory</t>
        </is>
      </c>
      <c r="L6" s="81" t="inlineStr">
        <is>
          <t>The agents should be able to provide quick wins and demonstrate measurable business impact, such as improved productivity, cost savings, or revenue generation.</t>
        </is>
      </c>
      <c r="M6" s="81" t="n"/>
      <c r="N6" s="81" t="inlineStr">
        <is>
          <t>The agents should not be limited to a specific business division (e.g., DI or SI) but should be applicable across the organization.</t>
        </is>
      </c>
      <c r="O6" s="81" t="n"/>
      <c r="P6" s="81" t="inlineStr">
        <is>
          <t>The agents should be feasible to implement within the existing technical constraints and align with Siemens' AI standards and orchestration capabilities (e.g. data cloud capabilities).</t>
        </is>
      </c>
      <c r="Q6" s="81" t="n"/>
      <c r="R6" s="81" t="inlineStr">
        <is>
          <t>The agents should not require level 3 as this would be an additional challenge (e.g. SieSales currently has ACP level 2 data).</t>
        </is>
      </c>
      <c r="S6" s="81" t="n"/>
      <c r="T6" s="81" t="inlineStr">
        <is>
          <t>The agents should not duplicate efforts or overlap with the agent use cases already being worked on by the team. -&gt; No overlap (no), yes there are similar use cases already worked on based on SI/DI/Agentforce use cases (yes)</t>
        </is>
      </c>
      <c r="U6" s="81" t="n"/>
      <c r="V6" s="81" t="inlineStr">
        <is>
          <t>The agents should address the needs of a significant user base and target specific pain points or gaps in the current CRM usage.</t>
        </is>
      </c>
      <c r="W6" s="81" t="n"/>
      <c r="X6" s="82" t="inlineStr">
        <is>
          <t>As before based on "cost avoidance", "sales &amp; profitability" and "time to value (months)". -&gt; see "Business Value Potential"</t>
        </is>
      </c>
      <c r="Y6" s="82" t="n"/>
      <c r="Z6" s="82" t="inlineStr">
        <is>
          <t>Based on implementation time.</t>
        </is>
      </c>
      <c r="AA6" s="82" t="n"/>
    </row>
    <row r="7" ht="92.25" customHeight="1" s="113">
      <c r="A7" s="74" t="inlineStr">
        <is>
          <t>Master Data Quality Agent</t>
        </is>
      </c>
      <c r="B7" s="74" t="inlineStr">
        <is>
          <t>Duplicate Detection Sub-Agent</t>
        </is>
      </c>
      <c r="C7" s="80" t="inlineStr">
        <is>
          <t>Identifies and flags duplicate customer records across systems using fuzzy matching algorithms</t>
        </is>
      </c>
      <c r="D7" s="80" t="inlineStr">
        <is>
          <t>Data fragmentation across multiple CRM/ERP systems leading to duplicate customer records, inconsistent account hierarchies, and wasted sales effort on same prospects</t>
        </is>
      </c>
      <c r="E7" s="80" t="inlineStr">
        <is>
          <t>Salesforce Einstein, ML-based fuzzy matching, Probabilistic record linkage algorithms</t>
        </is>
      </c>
      <c r="F7" s="33" t="inlineStr">
        <is>
          <t>SAP MDG</t>
        </is>
      </c>
      <c r="G7" s="33" t="inlineStr">
        <is>
          <t>Customer records (SF CRM, MDG); Fuzzy matching rules; Historical duplicate patterns</t>
        </is>
      </c>
      <c r="H7" s="33" t="inlineStr">
        <is>
          <t>Triggered on new/changed customer records. Runs ML-based similarity algorithms to identify potential duplicates across name, address, tax ID. Scores matches and flags high-confidence duplicates for auto-merge or review.</t>
        </is>
      </c>
      <c r="I7" s="33" t="inlineStr">
        <is>
          <t>Duplicate alerts with confidence score; Merge recommendations; Auto-merge execution (&gt;95% confidence)</t>
        </is>
      </c>
      <c r="J7" s="33" t="inlineStr">
        <is>
          <t>Duplicate detection rate; False positive rate; Auto-merge accuracy</t>
        </is>
      </c>
      <c r="K7" s="33" t="n"/>
      <c r="L7" s="84" t="inlineStr">
        <is>
          <t>High, Medium or Low</t>
        </is>
      </c>
      <c r="M7" s="84" t="inlineStr">
        <is>
          <t>[Reasoning]</t>
        </is>
      </c>
      <c r="N7" s="84" t="inlineStr">
        <is>
          <t>High, Medium or Low</t>
        </is>
      </c>
      <c r="O7" s="84" t="inlineStr">
        <is>
          <t>[Reasoning]</t>
        </is>
      </c>
      <c r="P7" s="84" t="inlineStr">
        <is>
          <t>High, Medium or Low</t>
        </is>
      </c>
      <c r="Q7" s="84" t="inlineStr">
        <is>
          <t>[Reasoning]</t>
        </is>
      </c>
      <c r="R7" s="84" t="inlineStr">
        <is>
          <t>High or Low</t>
        </is>
      </c>
      <c r="S7" s="84" t="inlineStr">
        <is>
          <t>[Reasoning]</t>
        </is>
      </c>
      <c r="T7" s="84" t="inlineStr">
        <is>
          <t>High, Medium or Low</t>
        </is>
      </c>
      <c r="U7" s="84" t="inlineStr">
        <is>
          <t>[Reasoning]</t>
        </is>
      </c>
      <c r="V7" s="84" t="inlineStr">
        <is>
          <t>High, Medium or Low</t>
        </is>
      </c>
      <c r="W7" s="84" t="inlineStr">
        <is>
          <t>[Reasoning]</t>
        </is>
      </c>
      <c r="X7" s="85">
        <f>L7</f>
        <v/>
      </c>
      <c r="Y7" s="84" t="inlineStr">
        <is>
          <t>[Reasoning]</t>
        </is>
      </c>
      <c r="Z7" s="84" t="inlineStr">
        <is>
          <t>High, Medium or Low</t>
        </is>
      </c>
      <c r="AA7" s="84" t="inlineStr">
        <is>
          <t>[Reasoning]</t>
        </is>
      </c>
    </row>
    <row r="8" ht="46.5" customHeight="1" s="113">
      <c r="A8" s="74" t="inlineStr">
        <is>
          <t>Master Data Quality Agent</t>
        </is>
      </c>
      <c r="B8" s="74" t="inlineStr">
        <is>
          <t>Address Validation Sub-Agent</t>
        </is>
      </c>
      <c r="C8" s="74" t="n"/>
      <c r="D8" s="74" t="n"/>
      <c r="E8" s="74" t="n"/>
      <c r="F8" s="33" t="inlineStr">
        <is>
          <t>SAP MDG</t>
        </is>
      </c>
      <c r="G8" s="33" t="inlineStr">
        <is>
          <t>Address data from all sources; Postal database feeds; Geolocation services</t>
        </is>
      </c>
      <c r="H8" s="33" t="inlineStr">
        <is>
          <t>Triggered on address creation/update. Calls external address validation APIs, standardizes formats, verifies deliverability, enriches with geolocation data. Auto-corrects minor errors and flags major issues.</t>
        </is>
      </c>
      <c r="I8" s="33" t="inlineStr">
        <is>
          <t>Validated addresses; Correction suggestions; Validation status flags; Geocoordinates</t>
        </is>
      </c>
      <c r="J8" s="33" t="inlineStr">
        <is>
          <t>Validation success rate; Auto-correction rate; Delivery failure reduction</t>
        </is>
      </c>
      <c r="K8" s="33" t="n"/>
      <c r="X8">
        <f>L8</f>
        <v/>
      </c>
    </row>
    <row r="9" ht="46.5" customHeight="1" s="113">
      <c r="A9" s="74" t="inlineStr">
        <is>
          <t>Master Data Quality Agent</t>
        </is>
      </c>
      <c r="B9" s="74" t="inlineStr">
        <is>
          <t>Data Completeness Sub-Agent</t>
        </is>
      </c>
      <c r="C9" s="74" t="n"/>
      <c r="D9" s="74" t="n"/>
      <c r="E9" s="74" t="n"/>
      <c r="F9" s="33" t="inlineStr">
        <is>
          <t>SAP MDG</t>
        </is>
      </c>
      <c r="G9" s="33" t="inlineStr">
        <is>
          <t>Customer master records; Required field definitions by segment; Business rules repository</t>
        </is>
      </c>
      <c r="H9" s="33" t="inlineStr">
        <is>
          <t>Triggered on record save. Evaluates completeness based on customer segment, transaction type, and regulatory requirements. Calculates completeness scores and identifies missing critical data.</t>
        </is>
      </c>
      <c r="I9" s="33" t="inlineStr">
        <is>
          <t>Completeness score (0-100); Missing field alerts; Priority ranking; Enrichment recommendations</t>
        </is>
      </c>
      <c r="J9" s="33" t="inlineStr">
        <is>
          <t>Overall completeness score; Critical field completion rate; Time to complete records</t>
        </is>
      </c>
      <c r="K9" s="33" t="n"/>
      <c r="X9">
        <f>L9</f>
        <v/>
      </c>
    </row>
    <row r="10" ht="46.5" customHeight="1" s="113">
      <c r="A10" s="74" t="inlineStr">
        <is>
          <t>Master Data Quality Agent</t>
        </is>
      </c>
      <c r="B10" s="74" t="inlineStr">
        <is>
          <t>Data Consistency Sub-Agent</t>
        </is>
      </c>
      <c r="C10" s="74" t="n"/>
      <c r="D10" s="74" t="n"/>
      <c r="E10" s="74" t="n"/>
      <c r="F10" s="33" t="inlineStr">
        <is>
          <t>SAP MDG</t>
        </is>
      </c>
      <c r="G10" s="33" t="inlineStr">
        <is>
          <t>Multi-system customer data; Cross-reference rules; Hierarchy validations</t>
        </is>
      </c>
      <c r="H10" s="33" t="inlineStr">
        <is>
          <t>Triggered on sync events. Compares customer data across CRM, ERP, billing systems. Detects inconsistencies in account hierarchies, payment terms, credit limits. Applies resolution rules or escalates conflicts.</t>
        </is>
      </c>
      <c r="I10" s="33" t="inlineStr">
        <is>
          <t>Consistency violation reports; Auto-reconciliation actions; Conflict resolution recommendations</t>
        </is>
      </c>
      <c r="J10" s="33" t="inlineStr">
        <is>
          <t>Data consistency score; Cross-system sync errors; Reconciliation time</t>
        </is>
      </c>
      <c r="K10" s="33" t="n"/>
      <c r="X10">
        <f>L10</f>
        <v/>
      </c>
    </row>
    <row r="11" ht="46.5" customHeight="1" s="113">
      <c r="A11" s="74" t="inlineStr">
        <is>
          <t>Master Data Quality Agent</t>
        </is>
      </c>
      <c r="B11" s="74" t="inlineStr">
        <is>
          <t>Data Change Monitoring Sub-Agent</t>
        </is>
      </c>
      <c r="C11" s="74" t="n"/>
      <c r="D11" s="74" t="n"/>
      <c r="E11" s="74" t="n"/>
      <c r="F11" s="33" t="inlineStr">
        <is>
          <t>SAP MDG</t>
        </is>
      </c>
      <c r="G11" s="33" t="inlineStr">
        <is>
          <t>Change logs from all systems; Audit rules; Suspicious pattern definitions</t>
        </is>
      </c>
      <c r="H11" s="33" t="inlineStr">
        <is>
          <t>Continuously monitors data changes. Detects anomalous patterns (bulk changes, unauthorized modifications, rapid updates). Triggers alerts for suspicious activities and maintains audit trail.</t>
        </is>
      </c>
      <c r="I11" s="33" t="inlineStr">
        <is>
          <t>Change history reports; Anomaly alerts; Audit documentation; Rollback triggers</t>
        </is>
      </c>
      <c r="J11" s="33" t="inlineStr">
        <is>
          <t>Anomaly detection rate; Audit compliance score; Mean time to detect issues</t>
        </is>
      </c>
      <c r="K11" s="33" t="n"/>
      <c r="X11">
        <f>L11</f>
        <v/>
      </c>
    </row>
    <row r="12" ht="61.5" customHeight="1" s="113">
      <c r="A12" s="74" t="inlineStr">
        <is>
          <t>Quote Configuration Agent</t>
        </is>
      </c>
      <c r="B12" s="74" t="inlineStr">
        <is>
          <t>Product Recommendation Sub-Agent</t>
        </is>
      </c>
      <c r="C12" s="74" t="n"/>
      <c r="D12" s="74" t="n"/>
      <c r="E12" s="74" t="n"/>
      <c r="F12" s="33" t="inlineStr">
        <is>
          <t>SF RCA</t>
        </is>
      </c>
      <c r="G12" s="33" t="inlineStr">
        <is>
          <t>Customer requirements; Customer profile &amp; history; Product catalog; Pricing rules</t>
        </is>
      </c>
      <c r="H12" s="33" t="inlineStr">
        <is>
          <t>Triggered when quote initiated. Analyzes customer needs, industry, size, purchase history. Runs recommendation engine to suggest products, bundles, and configurations. Considers margin optimization and inventory availability.</t>
        </is>
      </c>
      <c r="I12" s="33" t="inlineStr">
        <is>
          <t>Recommended products ranked by fit; Bundle suggestions; Alternative options; Justification rationale</t>
        </is>
      </c>
      <c r="J12" s="33" t="inlineStr">
        <is>
          <t>Recommendation acceptance rate; Upsell success rate; Quote value increase</t>
        </is>
      </c>
      <c r="K12" s="33" t="inlineStr">
        <is>
          <t>Automated opportunity and quote creation</t>
        </is>
      </c>
      <c r="X12">
        <f>L12</f>
        <v/>
      </c>
    </row>
    <row r="13" ht="61.5" customHeight="1" s="113">
      <c r="A13" s="74" t="inlineStr">
        <is>
          <t>Quote Configuration Agent</t>
        </is>
      </c>
      <c r="B13" s="74" t="inlineStr">
        <is>
          <t>Pricing Optimization Sub-Agent</t>
        </is>
      </c>
      <c r="C13" s="74" t="n"/>
      <c r="D13" s="74" t="n"/>
      <c r="E13" s="74" t="n"/>
      <c r="F13" s="33" t="inlineStr">
        <is>
          <t>SF RCA</t>
        </is>
      </c>
      <c r="G13" s="33" t="inlineStr">
        <is>
          <t>Product selections; Pricing rules &amp; matrices; Competitive intelligence; Customer agreements</t>
        </is>
      </c>
      <c r="H13" s="33" t="inlineStr">
        <is>
          <t>Triggered after product selection. Calculates optimal pricing considering volume discounts, contract terms, competitive positioning, margin targets. Suggests discount levels and validates against approval thresholds.</t>
        </is>
      </c>
      <c r="I13" s="33" t="inlineStr">
        <is>
          <t>Optimized pricing; Discount recommendations; Pricing rationale; Margin analysis; Approval requirements</t>
        </is>
      </c>
      <c r="J13" s="33" t="inlineStr">
        <is>
          <t>Win rate by pricing tier; Margin realization; Discount variance</t>
        </is>
      </c>
      <c r="K13" s="33" t="inlineStr">
        <is>
          <t>Intelligent product and discount recommendations</t>
        </is>
      </c>
      <c r="X13">
        <f>L13</f>
        <v/>
      </c>
    </row>
    <row r="14" ht="61.5" customHeight="1" s="113">
      <c r="A14" s="74" t="inlineStr">
        <is>
          <t>Quote Configuration Agent</t>
        </is>
      </c>
      <c r="B14" s="74" t="inlineStr">
        <is>
          <t>Technical Feasibility Sub-Agent</t>
        </is>
      </c>
      <c r="C14" s="74" t="n"/>
      <c r="D14" s="74" t="n"/>
      <c r="E14" s="74" t="n"/>
      <c r="F14" s="33" t="inlineStr">
        <is>
          <t>SF RCA</t>
        </is>
      </c>
      <c r="G14" s="33" t="inlineStr">
        <is>
          <t>Product configurations; Technical compatibility rules; Engineering constraints; Customer environment data</t>
        </is>
      </c>
      <c r="H14" s="33" t="inlineStr">
        <is>
          <t>Triggered during configuration. Validates technical compatibility of selected products, checks for conflicts, verifies installation requirements. Flags engineering review needs for custom configurations.</t>
        </is>
      </c>
      <c r="I14" s="33" t="inlineStr">
        <is>
          <t>Feasibility assessment; Configuration warnings; Engineering escalation flags; Alternative configurations</t>
        </is>
      </c>
      <c r="J14" s="33" t="inlineStr">
        <is>
          <t>Configuration error rate; Engineering escalation rate; First-time-right quotes</t>
        </is>
      </c>
      <c r="K14" s="33" t="n"/>
      <c r="X14">
        <f>L14</f>
        <v/>
      </c>
    </row>
    <row r="15" ht="46.5" customHeight="1" s="113">
      <c r="A15" s="74" t="inlineStr">
        <is>
          <t>Quote Configuration Agent</t>
        </is>
      </c>
      <c r="B15" s="74" t="inlineStr">
        <is>
          <t>Upsell/Cross-sell Opportunity Sub-Agent</t>
        </is>
      </c>
      <c r="C15" s="74" t="n"/>
      <c r="D15" s="74" t="n"/>
      <c r="E15" s="74" t="n"/>
      <c r="F15" s="33" t="inlineStr">
        <is>
          <t>SF RCA</t>
        </is>
      </c>
      <c r="G15" s="33" t="inlineStr">
        <is>
          <t>Current quote items; Customer installed base; Product affinity rules; Campaign data</t>
        </is>
      </c>
      <c r="H15" s="33" t="inlineStr">
        <is>
          <t>Triggered during quote building. Identifies relevant add-ons, upgrades, complementary products based on what's in cart and customer history. Scores opportunities by likelihood and value.</t>
        </is>
      </c>
      <c r="I15" s="33" t="inlineStr">
        <is>
          <t>Ranked upsell opportunities; Cross-sell suggestions; Value messaging; Success probability scores</t>
        </is>
      </c>
      <c r="J15" s="33" t="inlineStr">
        <is>
          <t>Attach rate; Average deal size increase; Opportunity conversion rate</t>
        </is>
      </c>
      <c r="K15" s="33" t="n"/>
      <c r="X15">
        <f>L15</f>
        <v/>
      </c>
    </row>
    <row r="16" ht="46.5" customHeight="1" s="113">
      <c r="A16" s="74" t="inlineStr">
        <is>
          <t>Quote Configuration Agent</t>
        </is>
      </c>
      <c r="B16" s="74" t="inlineStr">
        <is>
          <t>Quote Validation Sub-Agent</t>
        </is>
      </c>
      <c r="C16" s="74" t="n"/>
      <c r="D16" s="74" t="n"/>
      <c r="E16" s="74" t="n"/>
      <c r="F16" s="33" t="inlineStr">
        <is>
          <t>SF RCA</t>
        </is>
      </c>
      <c r="G16" s="33" t="inlineStr">
        <is>
          <t>Complete quote data; Business rules; Approval policies; Historical won/lost data</t>
        </is>
      </c>
      <c r="H16" s="33" t="inlineStr">
        <is>
          <t>Triggered before quote submission. Performs comprehensive validation of pricing, discounts, configurations, terms. Checks completeness, compliance with policies. Determines required approval routing.</t>
        </is>
      </c>
      <c r="I16" s="33" t="inlineStr">
        <is>
          <t>Validation results; Error/warning list; Approval routing decision; Risk assessment</t>
        </is>
      </c>
      <c r="J16" s="33" t="inlineStr">
        <is>
          <t>Quote error rate; Rework percentage; Time to validate</t>
        </is>
      </c>
      <c r="K16" s="33" t="n"/>
      <c r="X16">
        <f>L16</f>
        <v/>
      </c>
    </row>
    <row r="17" ht="46.5" customHeight="1" s="113">
      <c r="A17" s="74" t="inlineStr">
        <is>
          <t>Credit Decision Agent</t>
        </is>
      </c>
      <c r="B17" s="74" t="inlineStr">
        <is>
          <t>Credit Data Aggregation Sub-Agent</t>
        </is>
      </c>
      <c r="C17" s="74" t="n"/>
      <c r="D17" s="74" t="n"/>
      <c r="E17" s="74" t="n"/>
      <c r="F17" s="33" t="inlineStr">
        <is>
          <t>SAP S/4HANA</t>
        </is>
      </c>
      <c r="G17" s="33" t="inlineStr">
        <is>
          <t>Credit bureau APIs (cFIN); Domain screening (EDS); Contact data (Contarget); Internal AR history</t>
        </is>
      </c>
      <c r="H17" s="33" t="inlineStr">
        <is>
          <t>Triggered on credit check request. Orchestrates parallel API calls to multiple credit bureaus and screening services. Consolidates responses, handles timeouts/errors, enriches with internal payment history data.</t>
        </is>
      </c>
      <c r="I17" s="33" t="inlineStr">
        <is>
          <t>Consolidated credit report; Bureau scores; Screening results; Payment history summary</t>
        </is>
      </c>
      <c r="J17" s="33" t="inlineStr">
        <is>
          <t>Data retrieval time; API success rate; Data completeness</t>
        </is>
      </c>
      <c r="K17" s="33" t="n"/>
      <c r="X17">
        <f>L17</f>
        <v/>
      </c>
    </row>
    <row r="18" ht="46.5" customHeight="1" s="113">
      <c r="A18" s="74" t="inlineStr">
        <is>
          <t>Credit Decision Agent</t>
        </is>
      </c>
      <c r="B18" s="74" t="inlineStr">
        <is>
          <t>Risk Scoring Sub-Agent</t>
        </is>
      </c>
      <c r="C18" s="74" t="n"/>
      <c r="D18" s="74" t="n"/>
      <c r="E18" s="74" t="n"/>
      <c r="F18" s="33" t="inlineStr">
        <is>
          <t>SAP S/4HANA</t>
        </is>
      </c>
      <c r="G18" s="33" t="inlineStr">
        <is>
          <t>Aggregated credit data; Corporate hierarchy; Industry benchmarks; Current exposure</t>
        </is>
      </c>
      <c r="H18" s="33" t="inlineStr">
        <is>
          <t>Triggered after data aggregation. Applies ML-based risk model incorporating bureau scores, payment patterns, industry risk, corporate structure. Calculates probability of default and expected loss.</t>
        </is>
      </c>
      <c r="I18" s="33" t="inlineStr">
        <is>
          <t>Risk score (0-1000); Risk category (A-E); Default probability; Contributing risk factors</t>
        </is>
      </c>
      <c r="J18" s="33" t="inlineStr">
        <is>
          <t>Model accuracy (vs. actual defaults); Score stability; Prediction power</t>
        </is>
      </c>
      <c r="K18" s="33" t="n"/>
      <c r="X18">
        <f>L18</f>
        <v/>
      </c>
    </row>
    <row r="19" ht="46.5" customHeight="1" s="113">
      <c r="A19" s="74" t="inlineStr">
        <is>
          <t>Credit Decision Agent</t>
        </is>
      </c>
      <c r="B19" s="74" t="inlineStr">
        <is>
          <t>Credit Limit Calculation Sub-Agent</t>
        </is>
      </c>
      <c r="C19" s="74" t="n"/>
      <c r="D19" s="74" t="n"/>
      <c r="E19" s="74" t="n"/>
      <c r="F19" s="33" t="inlineStr">
        <is>
          <t>SAP S/4HANA</t>
        </is>
      </c>
      <c r="G19" s="33" t="inlineStr">
        <is>
          <t>Risk score; Financial statements; Order value; Payment terms; Existing exposure</t>
        </is>
      </c>
      <c r="H19" s="33" t="inlineStr">
        <is>
          <t>Triggered after risk scoring. Calculates recommended credit limit using risk-based pricing models, considers requested amount, existing exposure, collateral. Optimizes for risk-adjusted return.</t>
        </is>
      </c>
      <c r="I19" s="33" t="inlineStr">
        <is>
          <t>Recommended credit limit; Limit justification; Required collateral/guarantees; Monitoring thresholds</t>
        </is>
      </c>
      <c r="J19" s="33" t="inlineStr">
        <is>
          <t>Limit utilization rate; Credit losses; Revenue at risk</t>
        </is>
      </c>
      <c r="K19" s="33" t="n"/>
      <c r="X19">
        <f>L19</f>
        <v/>
      </c>
    </row>
    <row r="20" ht="46.5" customHeight="1" s="113">
      <c r="A20" s="74" t="inlineStr">
        <is>
          <t>Credit Decision Agent</t>
        </is>
      </c>
      <c r="B20" s="74" t="inlineStr">
        <is>
          <t>Approval Routing Sub-Agent</t>
        </is>
      </c>
      <c r="C20" s="74" t="n"/>
      <c r="D20" s="74" t="n"/>
      <c r="E20" s="74" t="n"/>
      <c r="F20" s="33" t="inlineStr">
        <is>
          <t>SAP S/4HANA</t>
        </is>
      </c>
      <c r="G20" s="33" t="inlineStr">
        <is>
          <t>Risk assessment results; Credit limit recommendation; Approval policies; Organizational hierarchy</t>
        </is>
      </c>
      <c r="H20" s="33" t="inlineStr">
        <is>
          <t>Triggered after limit calculation. Determines approval requirements based on risk level, amount, policy exceptions. Routes to appropriate approvers, sets SLAs, manages escalations for overdue approvals.</t>
        </is>
      </c>
      <c r="I20" s="33" t="inlineStr">
        <is>
          <t>Approval workflow route; Required approver list; Justification package; SLA timers</t>
        </is>
      </c>
      <c r="J20" s="33" t="inlineStr">
        <is>
          <t>Auto-approval rate; Approval cycle time; Escalation rate</t>
        </is>
      </c>
      <c r="K20" s="33" t="inlineStr">
        <is>
          <t>Slack Agent routes notifications and approval requests directly to Slack for faster action</t>
        </is>
      </c>
      <c r="X20">
        <f>L20</f>
        <v/>
      </c>
    </row>
    <row r="21" ht="46.5" customHeight="1" s="113">
      <c r="A21" s="74" t="inlineStr">
        <is>
          <t>Credit Decision Agent</t>
        </is>
      </c>
      <c r="B21" s="74" t="inlineStr">
        <is>
          <t>Credit Monitoring Sub-Agent</t>
        </is>
      </c>
      <c r="C21" s="74" t="n"/>
      <c r="D21" s="74" t="n"/>
      <c r="E21" s="74" t="n"/>
      <c r="F21" s="33" t="inlineStr">
        <is>
          <t>SAP S/4HANA</t>
        </is>
      </c>
      <c r="G21" s="33" t="inlineStr">
        <is>
          <t>Approved credit limits; Transaction activity; Credit bureau alerts; Payment performance</t>
        </is>
      </c>
      <c r="H21" s="33" t="inlineStr">
        <is>
          <t>Continuously monitors approved customers. Tracks credit utilization, payment timeliness, bureau score changes. Triggers alerts for deteriorating conditions, recommends limit adjustments or holds.</t>
        </is>
      </c>
      <c r="I21" s="33" t="inlineStr">
        <is>
          <t>Monitoring alerts; Limit adjustment recommendations; Payment hold triggers; Portfolio risk reports</t>
        </is>
      </c>
      <c r="J21" s="33" t="inlineStr">
        <is>
          <t>Early warning accuracy; Limit breach incidents; Loss prevention</t>
        </is>
      </c>
      <c r="K21" s="33" t="n"/>
      <c r="X21">
        <f>L21</f>
        <v/>
      </c>
    </row>
    <row r="22" ht="61.5" customHeight="1" s="113">
      <c r="A22" s="74" t="inlineStr">
        <is>
          <t>Compliance Orchestration Agent</t>
        </is>
      </c>
      <c r="B22" s="74" t="inlineStr">
        <is>
          <t>Sanctions Screening Sub-Agent</t>
        </is>
      </c>
      <c r="C22" s="74" t="n"/>
      <c r="D22" s="74" t="n"/>
      <c r="E22" s="74" t="n"/>
      <c r="F22" s="33" t="inlineStr">
        <is>
          <t>SAP GTS</t>
        </is>
      </c>
      <c r="G22" s="33" t="inlineStr">
        <is>
          <t>Customer data; Sanctions lists (OFAC, UN, EU, etc.); Product/service details; Destination country</t>
        </is>
      </c>
      <c r="H22" s="33" t="inlineStr">
        <is>
          <t>Triggered on customer creation and quote validation. Screens customer names, addresses, beneficial owners against multiple sanctions lists. Uses fuzzy matching with configurable thresholds to reduce false positives.</t>
        </is>
      </c>
      <c r="I22" s="33" t="inlineStr">
        <is>
          <t>Screening results (Pass/Fail/Review); Match details with scores; Recommended actions; Audit documentation</t>
        </is>
      </c>
      <c r="J22" s="33" t="inlineStr">
        <is>
          <t>Screening time; False positive rate; Match accuracy</t>
        </is>
      </c>
      <c r="K22" s="33" t="n"/>
      <c r="X22">
        <f>L22</f>
        <v/>
      </c>
    </row>
    <row r="23" ht="61.5" customHeight="1" s="113">
      <c r="A23" s="74" t="inlineStr">
        <is>
          <t>Compliance Orchestration Agent</t>
        </is>
      </c>
      <c r="B23" s="74" t="inlineStr">
        <is>
          <t>Export Control Classification Sub-Agent</t>
        </is>
      </c>
      <c r="C23" s="74" t="n"/>
      <c r="D23" s="74" t="n"/>
      <c r="E23" s="74" t="n"/>
      <c r="F23" s="33" t="inlineStr">
        <is>
          <t>SAP GTS</t>
        </is>
      </c>
      <c r="G23" s="33" t="inlineStr">
        <is>
          <t>Product details; Technical specifications; Export control databases (CCL, ECCN); Destination country</t>
        </is>
      </c>
      <c r="H23" s="33" t="inlineStr">
        <is>
          <t>Triggered when products added to quote. Automatically classifies products against export control lists, determines licensing requirements, checks destination country restrictions. Flags controlled items.</t>
        </is>
      </c>
      <c r="I23" s="33" t="inlineStr">
        <is>
          <t>Product classification codes; License requirements; Export restrictions; Documentation needs</t>
        </is>
      </c>
      <c r="J23" s="33" t="inlineStr">
        <is>
          <t>Classification accuracy; Licensing compliance rate; Classification time</t>
        </is>
      </c>
      <c r="K23" s="33" t="n"/>
      <c r="X23">
        <f>L23</f>
        <v/>
      </c>
    </row>
    <row r="24" ht="46.5" customHeight="1" s="113">
      <c r="A24" s="74" t="inlineStr">
        <is>
          <t>Compliance Orchestration Agent</t>
        </is>
      </c>
      <c r="B24" s="74" t="inlineStr">
        <is>
          <t>Denied Party Screening Sub-Agent</t>
        </is>
      </c>
      <c r="C24" s="74" t="n"/>
      <c r="D24" s="74" t="n"/>
      <c r="E24" s="74" t="n"/>
      <c r="F24" s="33" t="inlineStr">
        <is>
          <t>SAP GTS</t>
        </is>
      </c>
      <c r="G24" s="33" t="inlineStr">
        <is>
          <t>End-user details; Intermediaries; Denied party lists (BIS, State Dept); Transaction parties</t>
        </is>
      </c>
      <c r="H24" s="33" t="inlineStr">
        <is>
          <t>Triggered during quote validation. Screens all transaction parties (buyer, end-user, intermediaries, freight forwarders) against denied party lists. Validates ownership structures for shell company risks.</t>
        </is>
      </c>
      <c r="I24" s="33" t="inlineStr">
        <is>
          <t>Party screening results; Risk assessment by party; Beneficial owner analysis; Red flag alerts</t>
        </is>
      </c>
      <c r="J24" s="33" t="inlineStr">
        <is>
          <t>Screening coverage; Hit rate accuracy; Investigation time</t>
        </is>
      </c>
      <c r="K24" s="33" t="n"/>
      <c r="X24">
        <f>L24</f>
        <v/>
      </c>
    </row>
    <row r="25" ht="61.5" customHeight="1" s="113">
      <c r="A25" s="74" t="inlineStr">
        <is>
          <t>Compliance Orchestration Agent</t>
        </is>
      </c>
      <c r="B25" s="74" t="inlineStr">
        <is>
          <t>End-Use Validation Sub-Agent</t>
        </is>
      </c>
      <c r="C25" s="74" t="n"/>
      <c r="D25" s="74" t="n"/>
      <c r="E25" s="74" t="n"/>
      <c r="F25" s="33" t="inlineStr">
        <is>
          <t>SAP GTS</t>
        </is>
      </c>
      <c r="G25" s="33" t="inlineStr">
        <is>
          <t>Customer declarations; Product usage patterns; Industry analysis; Historical behavior</t>
        </is>
      </c>
      <c r="H25" s="33" t="inlineStr">
        <is>
          <t>Triggered for controlled products. Analyzes declared end-use against product capabilities, customer industry, and historical patterns. Detects potential misuse risks through anomaly detection.</t>
        </is>
      </c>
      <c r="I25" s="33" t="inlineStr">
        <is>
          <t>End-use assessment (Low/Medium/High risk); Anomaly alerts; Recommended restrictions; Due diligence requirements</t>
        </is>
      </c>
      <c r="J25" s="33" t="inlineStr">
        <is>
          <t>Risk detection accuracy; Diversion prevention rate; Assessment time</t>
        </is>
      </c>
      <c r="K25" s="33" t="n"/>
      <c r="X25">
        <f>L25</f>
        <v/>
      </c>
    </row>
    <row r="26" ht="46.5" customHeight="1" s="113">
      <c r="A26" s="74" t="inlineStr">
        <is>
          <t>Compliance Orchestration Agent</t>
        </is>
      </c>
      <c r="B26" s="74" t="inlineStr">
        <is>
          <t>Compliance Documentation Sub-Agent</t>
        </is>
      </c>
      <c r="C26" s="74" t="n"/>
      <c r="D26" s="74" t="n"/>
      <c r="E26" s="74" t="n"/>
      <c r="F26" s="33" t="inlineStr">
        <is>
          <t>SAP GTS</t>
        </is>
      </c>
      <c r="G26" s="33" t="inlineStr">
        <is>
          <t>All screening results; Regulatory requirements; License data; Approval decisions</t>
        </is>
      </c>
      <c r="H26" s="33" t="inlineStr">
        <is>
          <t>Triggered at quote approval. Consolidates all compliance checks, generates required documentation (licenses, declarations, certificates), ensures audit trail completeness, prepares export filing data.</t>
        </is>
      </c>
      <c r="I26" s="33" t="inlineStr">
        <is>
          <t>Compliance certificate; Export documentation package; Audit trail report; Filing-ready data</t>
        </is>
      </c>
      <c r="J26" s="33" t="inlineStr">
        <is>
          <t>Documentation completeness; Audit readiness score; Generation time</t>
        </is>
      </c>
      <c r="K26" s="33" t="n"/>
      <c r="X26">
        <f>L26</f>
        <v/>
      </c>
    </row>
    <row r="27" ht="46.5" customHeight="1" s="113">
      <c r="A27" s="74" t="inlineStr">
        <is>
          <t>Quote Routing &amp; Approval Agent</t>
        </is>
      </c>
      <c r="B27" s="74" t="inlineStr">
        <is>
          <t>Deal Characteristic Analysis Sub-Agent</t>
        </is>
      </c>
      <c r="C27" s="74" t="n"/>
      <c r="D27" s="74" t="n"/>
      <c r="E27" s="74" t="n"/>
      <c r="F27" s="33" t="inlineStr">
        <is>
          <t>SF CRM</t>
        </is>
      </c>
      <c r="G27" s="33" t="inlineStr">
        <is>
          <t>Quote details; Customer data; Historical deal data; Organizational rules</t>
        </is>
      </c>
      <c r="H27" s="33" t="inlineStr">
        <is>
          <t>Triggered after credit and compliance checks pass. Analyzes deal size, complexity, discount levels, risk factors, strategic importance. Scores deal on multiple dimensions to determine routing needs.</t>
        </is>
      </c>
      <c r="I27" s="33" t="inlineStr">
        <is>
          <t>Deal complexity score; Risk assessment; Strategic value rating; Routing requirements</t>
        </is>
      </c>
      <c r="J27" s="33" t="inlineStr">
        <is>
          <t>Scoring accuracy; Analysis time; Routing appropriateness</t>
        </is>
      </c>
      <c r="K27" s="33" t="n"/>
      <c r="X27">
        <f>L27</f>
        <v/>
      </c>
    </row>
    <row r="28" ht="61.5" customHeight="1" s="113">
      <c r="A28" s="74" t="inlineStr">
        <is>
          <t>Quote Routing &amp; Approval Agent</t>
        </is>
      </c>
      <c r="B28" s="74" t="inlineStr">
        <is>
          <t>Approver Selection Sub-Agent</t>
        </is>
      </c>
      <c r="C28" s="74" t="n"/>
      <c r="D28" s="74" t="n"/>
      <c r="E28" s="74" t="n"/>
      <c r="F28" s="33" t="inlineStr">
        <is>
          <t>SF CRM</t>
        </is>
      </c>
      <c r="G28" s="33" t="inlineStr">
        <is>
          <t>Deal characteristics; Approval policies; Organizational hierarchy (HRIS); Approver availability/workload</t>
        </is>
      </c>
      <c r="H28" s="33" t="inlineStr">
        <is>
          <t>Triggered after deal analysis. Determines required approvers based on policies (discount %, deal size, risk level). Considers approver availability, current workload, delegation rules. Optimizes for fastest approval.</t>
        </is>
      </c>
      <c r="I28" s="33" t="inlineStr">
        <is>
          <t>Approver list with sequence; Justification for each approver; Delegation assignments; Parallel vs. sequential routing</t>
        </is>
      </c>
      <c r="J28" s="33" t="inlineStr">
        <is>
          <t>Routing accuracy; Approval cycle time; Workload balance</t>
        </is>
      </c>
      <c r="K28" s="33" t="n"/>
      <c r="X28">
        <f>L28</f>
        <v/>
      </c>
    </row>
    <row r="29" ht="61.5" customHeight="1" s="113">
      <c r="A29" s="74" t="inlineStr">
        <is>
          <t>Quote Routing &amp; Approval Agent</t>
        </is>
      </c>
      <c r="B29" s="74" t="inlineStr">
        <is>
          <t>Approval Workflow Orchestration Sub-Agent</t>
        </is>
      </c>
      <c r="C29" s="74" t="n"/>
      <c r="D29" s="74" t="n"/>
      <c r="E29" s="74" t="n"/>
      <c r="F29" s="33" t="inlineStr">
        <is>
          <t>SF CRM</t>
        </is>
      </c>
      <c r="G29" s="33" t="inlineStr">
        <is>
          <t>Approver selections; Deal justification package; SLA policies; Business calendar</t>
        </is>
      </c>
      <c r="H29" s="33" t="inlineStr">
        <is>
          <t>Triggered after approver selection. Creates workflow instances, sends notifications with context, tracks responses, manages parallel approvals, handles conditional routing based on responses, escalates overdue items.</t>
        </is>
      </c>
      <c r="I29" s="33" t="inlineStr">
        <is>
          <t>Workflow status updates; Notifications to approvers; Escalation triggers; Real-time tracking dashboard</t>
        </is>
      </c>
      <c r="J29" s="33" t="inlineStr">
        <is>
          <t>On-time approval rate; Escalation frequency; Workflow completion time</t>
        </is>
      </c>
      <c r="K29" s="33" t="n"/>
      <c r="X29">
        <f>L29</f>
        <v/>
      </c>
    </row>
    <row r="30" ht="61.5" customHeight="1" s="113">
      <c r="A30" s="74" t="inlineStr">
        <is>
          <t>Quote Routing &amp; Approval Agent</t>
        </is>
      </c>
      <c r="B30" s="74" t="inlineStr">
        <is>
          <t>Approval Decision Support Sub-Agent</t>
        </is>
      </c>
      <c r="C30" s="74" t="n"/>
      <c r="D30" s="74" t="n"/>
      <c r="E30" s="74" t="n"/>
      <c r="F30" s="33" t="inlineStr">
        <is>
          <t>SF CRM</t>
        </is>
      </c>
      <c r="G30" s="33" t="inlineStr">
        <is>
          <t>Deal details; Business rules repository; Similar historical deals; Win/loss data</t>
        </is>
      </c>
      <c r="H30" s="33" t="inlineStr">
        <is>
          <t>Triggered when approver opens workflow. Provides decision support by showing comparable deals, win probability, risk factors, margin analysis. Highlights policy exceptions and suggests conditions.</t>
        </is>
      </c>
      <c r="I30" s="33" t="inlineStr">
        <is>
          <t>Decision recommendation; Comparable deal analysis; Risk/reward summary; Suggested conditions/terms</t>
        </is>
      </c>
      <c r="J30" s="33" t="inlineStr">
        <is>
          <t>Decision quality (vs. outcomes); Approver satisfaction; Information usefulness</t>
        </is>
      </c>
      <c r="K30" s="33" t="n"/>
      <c r="X30">
        <f>L30</f>
        <v/>
      </c>
    </row>
    <row r="31" ht="46.5" customHeight="1" s="113">
      <c r="A31" s="74" t="inlineStr">
        <is>
          <t>Quote Routing &amp; Approval Agent</t>
        </is>
      </c>
      <c r="B31" s="74" t="inlineStr">
        <is>
          <t>Workflow Exception Handling Sub-Agent</t>
        </is>
      </c>
      <c r="C31" s="74" t="n"/>
      <c r="D31" s="74" t="n"/>
      <c r="E31" s="74" t="n"/>
      <c r="F31" s="33" t="inlineStr">
        <is>
          <t>SF CRM</t>
        </is>
      </c>
      <c r="G31" s="33" t="inlineStr">
        <is>
          <t>Workflow status; Approver responses; Rejection reasons; Policy override requests</t>
        </is>
      </c>
      <c r="H31" s="33" t="inlineStr">
        <is>
          <t>Continuously monitors workflows. Handles rejections by routing back to sales with feedback, manages policy override requests, deals with approver unavailability, executes fallback routing, logs all exceptions.</t>
        </is>
      </c>
      <c r="I31" s="33" t="inlineStr">
        <is>
          <t>Exception routing decisions; Feedback to sales team; Override approvals; Exception audit log</t>
        </is>
      </c>
      <c r="J31" s="33" t="inlineStr">
        <is>
          <t>Exception resolution time; Override approval rate; Rework cycles</t>
        </is>
      </c>
      <c r="K31" s="33" t="n"/>
      <c r="X31">
        <f>L31</f>
        <v/>
      </c>
    </row>
    <row r="32" ht="61.5" customHeight="1" s="113">
      <c r="A32" s="74" t="inlineStr">
        <is>
          <t>Quote Conversion Agent</t>
        </is>
      </c>
      <c r="B32" s="74" t="inlineStr">
        <is>
          <t>Conversion Readiness Sub-Agent</t>
        </is>
      </c>
      <c r="C32" s="74" t="n"/>
      <c r="D32" s="74" t="n"/>
      <c r="E32" s="74" t="n"/>
      <c r="F32" s="33" t="inlineStr">
        <is>
          <t>SF CRM</t>
        </is>
      </c>
      <c r="G32" s="33" t="inlineStr">
        <is>
          <t>Quote approval status; Lead time data; Customer PO status; Contract execution status</t>
        </is>
      </c>
      <c r="H32" s="33" t="inlineStr">
        <is>
          <t>Triggered when quote approved. Validates all prerequisites for conversion: customer acceptance received, purchase order obtained, contract signed, delivery dates confirmed. Calculates optimal conversion timing.</t>
        </is>
      </c>
      <c r="I32" s="33" t="inlineStr">
        <is>
          <t>Readiness assessment (Ready/Waiting/Blocked); Missing prerequisites list; Recommended conversion date; Risk flags</t>
        </is>
      </c>
      <c r="J32" s="33" t="inlineStr">
        <is>
          <t>Conversion success rate; Time from approval to conversion; Prerequisite completion rate</t>
        </is>
      </c>
      <c r="K32" s="33" t="n"/>
      <c r="X32">
        <f>L32</f>
        <v/>
      </c>
    </row>
    <row r="33" ht="184.5" customFormat="1" customHeight="1" s="112">
      <c r="A33" s="74" t="inlineStr">
        <is>
          <t>Quote Conversion Agent</t>
        </is>
      </c>
      <c r="B33" s="74" t="inlineStr">
        <is>
          <t>Quote Follow-up Sub-Agent</t>
        </is>
      </c>
      <c r="C33" s="74" t="n"/>
      <c r="D33" s="74" t="n"/>
      <c r="E33" s="74" t="n"/>
      <c r="F33" s="33" t="inlineStr">
        <is>
          <t>SF CRM</t>
        </is>
      </c>
      <c r="G33" s="33" t="inlineStr">
        <is>
          <t>Quote status and history (SF CRM); Customer engagement data (email opens, clicks, portal visits); Sales rep calendar and activity log; Historical conversion patterns by customer segment; Competitor intelligence and market urgency signals; Customer sentiment data (support tickets, NPS scores)</t>
        </is>
      </c>
      <c r="H33" s="33" t="inlineStr">
        <is>
          <t>Triggered on quote approval and runs continuously thereafter. Monitors quote age, customer engagement signals, and buying patterns. Applies ML-based urgency scoring to predict optimal follow-up timing. Analyzes customer behavior (email opens, quote portal visits, competitor activity) to detect buying signals. Generates personalized follow-up recommendations with specific talking points based on customer concerns, quote modifications, and competitive context. Automatically triggers reminders to sales reps at optimal times. For high-value or time-sensitive deals, escalates to sales management. Tracks follow-up completion and correlates actions with conversion outcomes to continuously improve recommendations.</t>
        </is>
      </c>
      <c r="I33" s="33" t="inlineStr">
        <is>
          <t>Follow-up task assignments with optimal timing; Personalized talking points and objection handling guidance; Customer engagement score and buying signal alerts; Recommended follow-up channel (call, email, in-person); Automated follow-up email drafts (when appropriate); Escalation notifications for at-risk high-value deals; Follow-up effectiveness reports and conversion analytics</t>
        </is>
      </c>
      <c r="J33" s="33" t="inlineStr">
        <is>
          <t>Quote-to-close conversion rate improvement; Average time from quote to decision (reduction); Follow-up task completion rate by sales reps; Quote abandonment rate (reduction); Revenue impact from improved follow-up timing; Sales rep productivity (time saved on planning); Win rate on followed-up quotes vs. non-followed-up</t>
        </is>
      </c>
      <c r="K33" s="33" t="n"/>
      <c r="X33">
        <f>L33</f>
        <v/>
      </c>
    </row>
    <row r="34" ht="61.5" customHeight="1" s="113">
      <c r="A34" s="74" t="inlineStr">
        <is>
          <t>Quote Conversion Agent</t>
        </is>
      </c>
      <c r="B34" s="74" t="inlineStr">
        <is>
          <t>Data Completeness Validation Sub-Agent</t>
        </is>
      </c>
      <c r="C34" s="74" t="n"/>
      <c r="D34" s="74" t="n"/>
      <c r="E34" s="74" t="n"/>
      <c r="F34" s="33" t="inlineStr">
        <is>
          <t>SF CRM</t>
        </is>
      </c>
      <c r="G34" s="33" t="inlineStr">
        <is>
          <t>Quote data; SAP order requirements; Customer master data; Material master data</t>
        </is>
      </c>
      <c r="H34" s="33" t="inlineStr">
        <is>
          <t>Triggered before conversion attempt. Validates that all required fields for SAP order creation are present and valid. Checks customer credit status, material availability, pricing completeness, delivery addresses.</t>
        </is>
      </c>
      <c r="I34" s="33" t="inlineStr">
        <is>
          <t>Validation results (Pass/Fail); Missing/invalid data list; Auto-correction suggestions; Manual review flags</t>
        </is>
      </c>
      <c r="J34" s="33" t="inlineStr">
        <is>
          <t>First-time conversion success; Data quality score; Validation time</t>
        </is>
      </c>
      <c r="K34" s="33" t="n"/>
      <c r="X34">
        <f>L34</f>
        <v/>
      </c>
    </row>
    <row r="35" ht="77.25" customHeight="1" s="113">
      <c r="A35" s="74" t="inlineStr">
        <is>
          <t>Quote Conversion Agent</t>
        </is>
      </c>
      <c r="B35" s="74" t="inlineStr">
        <is>
          <t>Inventory &amp; Delivery Feasibility Sub-Agent</t>
        </is>
      </c>
      <c r="C35" s="74" t="n"/>
      <c r="D35" s="74" t="n"/>
      <c r="E35" s="74" t="n"/>
      <c r="F35" s="33" t="inlineStr">
        <is>
          <t>SF CRM + SAP</t>
        </is>
      </c>
      <c r="G35" s="33" t="inlineStr">
        <is>
          <t>Quote line items; Inventory availability (SAP); Production schedules; Delivery lead times</t>
        </is>
      </c>
      <c r="H35" s="33" t="inlineStr">
        <is>
          <t>Triggered during conversion validation. Checks real-time inventory via SAP APIs, validates requested delivery dates against lead times and production capacity. Suggests alternatives for unavailable items.</t>
        </is>
      </c>
      <c r="I35" s="33" t="inlineStr">
        <is>
          <t>Feasibility assessment per line item; Inventory availability status; Delivery date confirmation/alternatives; Backorder recommendations</t>
        </is>
      </c>
      <c r="J35" s="33" t="inlineStr">
        <is>
          <t>On-time delivery promise accuracy; Inventory allocation efficiency; Backorder rate</t>
        </is>
      </c>
      <c r="K35" s="33" t="n"/>
      <c r="X35">
        <f>L35</f>
        <v/>
      </c>
    </row>
    <row r="36" ht="61.5" customHeight="1" s="113">
      <c r="A36" s="74" t="inlineStr">
        <is>
          <t>Quote Conversion Agent</t>
        </is>
      </c>
      <c r="B36" s="74" t="inlineStr">
        <is>
          <t>Order Creation Orchestration Sub-Agent</t>
        </is>
      </c>
      <c r="C36" s="74" t="n"/>
      <c r="D36" s="74" t="n"/>
      <c r="E36" s="74" t="n"/>
      <c r="F36" s="33" t="inlineStr">
        <is>
          <t>SF CRM</t>
        </is>
      </c>
      <c r="G36" s="33" t="inlineStr">
        <is>
          <t>Validated quote data; SAP order templates; Conversion mapping rules; Customer engagement data</t>
        </is>
      </c>
      <c r="H36" s="33" t="inlineStr">
        <is>
          <t>Triggered when all validations pass. Transforms Salesforce quote data to SAP order format, handles field mappings, applies business logic transformations. Creates order via SAP API with error handling and retry logic.</t>
        </is>
      </c>
      <c r="I36" s="33" t="inlineStr">
        <is>
          <t>SAP order number; Conversion status; Order confirmation document; Exception log</t>
        </is>
      </c>
      <c r="J36" s="33" t="inlineStr">
        <is>
          <t>Conversion success rate; Conversion time; Data transformation accuracy</t>
        </is>
      </c>
      <c r="K36" s="33" t="n"/>
      <c r="X36">
        <f>L36</f>
        <v/>
      </c>
    </row>
    <row r="37" ht="46.5" customHeight="1" s="113">
      <c r="A37" s="74" t="inlineStr">
        <is>
          <t>Quote Conversion Agent</t>
        </is>
      </c>
      <c r="B37" s="74" t="inlineStr">
        <is>
          <t>Post-Conversion Sync Sub-Agent</t>
        </is>
      </c>
      <c r="C37" s="74" t="n"/>
      <c r="D37" s="74" t="n"/>
      <c r="E37" s="74" t="n"/>
      <c r="F37" s="33" t="inlineStr">
        <is>
          <t>SF CRM</t>
        </is>
      </c>
      <c r="G37" s="33" t="inlineStr">
        <is>
          <t>Created SAP order; Salesforce quote/opportunity; Order acknowledgment; Delivery status</t>
        </is>
      </c>
      <c r="H37" s="33" t="inlineStr">
        <is>
          <t>Triggered after successful order creation. Updates Salesforce with SAP order number, syncs status changes, monitors order fulfillment. Handles order modifications and maintains bidirectional sync.</t>
        </is>
      </c>
      <c r="I37" s="33" t="inlineStr">
        <is>
          <t>Salesforce record updates; Order status notifications; Sync error alerts; Revenue recognition triggers</t>
        </is>
      </c>
      <c r="J37" s="33" t="inlineStr">
        <is>
          <t>Sync accuracy; Status update latency; Quote-to-cash cycle time</t>
        </is>
      </c>
      <c r="K37" s="33" t="n"/>
      <c r="X37">
        <f>L37</f>
        <v/>
      </c>
    </row>
    <row r="38" ht="61.5" customHeight="1" s="113">
      <c r="A38" s="74" t="inlineStr">
        <is>
          <t>Quote Conversion Agent</t>
        </is>
      </c>
      <c r="B38" s="74" t="inlineStr">
        <is>
          <t>Conversion Exception Resolution Sub-Agent</t>
        </is>
      </c>
      <c r="C38" s="74" t="n"/>
      <c r="D38" s="74" t="n"/>
      <c r="E38" s="74" t="n"/>
      <c r="F38" s="33" t="inlineStr">
        <is>
          <t>SF CRM</t>
        </is>
      </c>
      <c r="G38" s="33" t="inlineStr">
        <is>
          <t>Conversion errors; Conflict details; Resolution rules; Historical resolution patterns</t>
        </is>
      </c>
      <c r="H38" s="33" t="inlineStr">
        <is>
          <t>Triggered on conversion failures. Analyzes error types, attempts auto-resolution for known issues, enriches missing data where possible. Routes complex exceptions to appropriate teams with context and recommendations.</t>
        </is>
      </c>
      <c r="I38" s="33" t="inlineStr">
        <is>
          <t>Resolution actions taken; Escalation tickets with context; Retry schedules; Resolution recommendations</t>
        </is>
      </c>
      <c r="J38" s="33" t="inlineStr">
        <is>
          <t>Auto-resolution rate; Mean time to resolution; Escalation accuracy</t>
        </is>
      </c>
      <c r="K38" s="33" t="n"/>
      <c r="X38">
        <f>L38</f>
        <v/>
      </c>
    </row>
    <row r="39" ht="231" customFormat="1" customHeight="1" s="68">
      <c r="A39" s="75" t="inlineStr">
        <is>
          <t>Sales Enablement Agent</t>
        </is>
      </c>
      <c r="B39" s="75" t="inlineStr">
        <is>
          <t>Account Intelligence Summary Sub-Agent</t>
        </is>
      </c>
      <c r="C39" s="75" t="n"/>
      <c r="D39" s="75" t="inlineStr">
        <is>
          <t>N/A</t>
        </is>
      </c>
      <c r="E39" s="75" t="inlineStr">
        <is>
          <t>Salesforce Agentforce</t>
        </is>
      </c>
      <c r="F39" s="67" t="inlineStr">
        <is>
          <t>SF CRM</t>
        </is>
      </c>
      <c r="G39" s="67" t="inlineStr">
        <is>
          <t>Customer master data (SF CRM, SAP MDG); Opportunity and quote history (SF CRM); Order and delivery history (SAP S/4HANA); Payment history and credit status (SAP S/4HANA); Support tickets and product issues (Service Cloud); Customer communications (Email, Slack); Product usage data and adoption metrics; Stakeholder mapping and org chart data; Industry news and company announcements; Competitive win/loss intelligence</t>
        </is>
      </c>
      <c r="H39" s="67" t="inlineStr">
        <is>
          <t>Triggered on-demand by sales reps (pre-call, pre-meeting) or scheduled for regular account reviews. Aggregates data from multiple systems via APIs and creates a unified view of the customer relationship. Applies natural language processing to summarize recent interactions, support issues, and sentiment trends. Identifies key stakeholders, decision-makers, and relationship strength. Highlights account health indicators (revenue trends, product adoption, support satisfaction, payment behavior). Detects risks (churn signals, competitive threats, unresolved issues) and opportunities (upsell potential, contract renewal timing, expansion triggers). Generates executive summary in natural language tailored to the sales rep's upcoming activity (call prep, QBR, proposal development). Continuously learns from rep feedback on summary usefulness.</t>
        </is>
      </c>
      <c r="I39" s="67" t="inlineStr">
        <is>
          <t>Executive account summary (2-3 paragraphs); Account health score with trend indicators; Recent activity timeline (orders, issues, communications); Key stakeholder map with relationship strength; Risk alerts (churn signals, payment issues, satisfaction drops); Opportunity highlights (upsell potential, whitespace analysis); Recommended talking points and questions for next interaction; Competitive intelligence relevant to this account; Action items requiring follow-up</t>
        </is>
      </c>
      <c r="J39" s="67" t="inlineStr">
        <is>
          <t>Time saved on account research per sales rep per week; Meeting preparation time reduction; Sales rep satisfaction with account insights; Meeting effectiveness score (rep and customer feedback); Customer engagement quality improvement; Early risk detection rate (churn prevention); Upsell/cross-sell opportunity identification accuracy; Account retention rate improvement</t>
        </is>
      </c>
      <c r="K39" s="67" t="n"/>
      <c r="X39">
        <f>L39</f>
        <v/>
      </c>
    </row>
    <row r="40" ht="261.75" customHeight="1" s="113">
      <c r="A40" s="74" t="inlineStr">
        <is>
          <t>Sales Enablement Agent</t>
        </is>
      </c>
      <c r="B40" s="74" t="inlineStr">
        <is>
          <t>Sales Communication Generation Sub-Agent</t>
        </is>
      </c>
      <c r="C40" s="74" t="n"/>
      <c r="D40" s="74" t="inlineStr">
        <is>
          <t>N/A</t>
        </is>
      </c>
      <c r="E40" s="74" t="inlineStr">
        <is>
          <t>Salesforce Agentforce</t>
        </is>
      </c>
      <c r="F40" s="33" t="inlineStr">
        <is>
          <t>SF CRM</t>
        </is>
      </c>
      <c r="G40" s="33" t="inlineStr">
        <is>
          <t>Customer profile and communication history (SF CRM); Deal context (quote details, stage, concerns, competitors); Email templates and best practice library; Previous successful communication patterns (won deals); Customer sentiment and engagement preferences; Product information and value propositions; Industry-specific messaging guidelines; Regulatory and compliance requirements for communications; Sales rep writing style and preferences; Meeting notes and action items from recent interactions</t>
        </is>
      </c>
      <c r="H40" s="33" t="inlineStr">
        <is>
          <t>Triggered when sales rep initiates email composition for specific scenarios (quote follow-up, proposal submission, meeting request, objection handling, contract negotiation, status update). Analyzes the context: customer relationship stage, recent interactions, outstanding issues, deal characteristics, and communication objective. Generates personalized email content using large language models fine-tuned on successful sales communications. Adapts tone based on customer seniority, industry, relationship maturity, and cultural context. Incorporates relevant data points (quote details, pricing, delivery dates) automatically from CRM. Suggests optimal subject lines based on open rate data. Provides multiple variants with different approaches (consultative, urgent, value-focused). Ensures compliance with industry regulations and company policies. Learns from rep edits and email performance (opens, responses, conversions) to improve future generations.</t>
        </is>
      </c>
      <c r="I40" s="33" t="inlineStr">
        <is>
          <t>Personalized email draft with multiple variants; Optimized subject line suggestions with predicted open rates; Tone and style recommendations based on context; Suggested call-to-action and next steps; Attachment recommendations (proposals, case studies, ROI calculators); Optimal send time prediction; Compliance check results (regulatory, legal, brand); Follow-up reminder schedule; A/B testing suggestions for important communications</t>
        </is>
      </c>
      <c r="J40" s="33" t="inlineStr">
        <is>
          <t>Email composition time reduction per sales rep; Email open rate improvement; Email response rate improvement; Meeting acceptance rate (for meeting requests); Quote acceptance rate (for proposal emails); Communication consistency across sales team; Sales rep adoption rate of generated content; Customer satisfaction with sales communications; Conversion rate by communication type; Time saved on email writing per week (team-wide)</t>
        </is>
      </c>
      <c r="K40" s="33" t="n"/>
      <c r="X40">
        <f>L40</f>
        <v/>
      </c>
    </row>
    <row r="41" ht="261.75" customHeight="1" s="113">
      <c r="A41" s="74" t="inlineStr">
        <is>
          <t>Sales Enablement Agent</t>
        </is>
      </c>
      <c r="B41" s="74" t="inlineStr">
        <is>
          <t>Deal Status Intelligence Sub-Agent</t>
        </is>
      </c>
      <c r="C41" s="74" t="n"/>
      <c r="D41" s="74" t="inlineStr">
        <is>
          <t>N/A</t>
        </is>
      </c>
      <c r="E41" s="74" t="inlineStr">
        <is>
          <t>Salesforce Agentforce</t>
        </is>
      </c>
      <c r="F41" s="33" t="inlineStr">
        <is>
          <t>SF CRM</t>
        </is>
      </c>
      <c r="G41" s="33" t="inlineStr">
        <is>
          <t>Quote data and status (SF CPQ); Approval workflow status (SF CRM); SAP order data (SAP S/4HANA); Production and fulfillment status (SAP); Shipping and delivery tracking (Logistics systems); Payment and invoicing status (SAP FI); Customer acceptance and signatures (DocuSign, Adobe Sign); Support tickets related to the deal (Service Cloud); Customer engagement data (quote views, portal activity); Historical timeline of all deal activities</t>
        </is>
      </c>
      <c r="H41" s="33" t="inlineStr">
        <is>
          <t>Triggered on-demand when sales rep views an opportunity, quote, or order, or scheduled for proactive status updates. Orchestrates API calls to multiple systems (SF CPQ, SF CRM, SAP S/4HANA, logistics, payment) to gather current status from each stage of the quote-to-cash process. Applies business logic to determine overall deal health and progress. Creates a unified timeline view showing all activities, approvals, order creation, production milestones, shipping events, and payment status. Uses natural language generation to create executive summary of where the deal stands. Identifies bottlenecks, delays, or risks (e.g., stuck in approval, production delayed, payment overdue). Highlights required actions and next steps for the sales rep. Provides customer-facing status that can be shared externally. Maintains historical snapshots for trend analysis and predictive insights on deal velocity.</t>
        </is>
      </c>
      <c r="I41" s="33" t="inlineStr">
        <is>
          <t>Unified deal status dashboard with visual timeline; Executive summary in natural language (current status, next steps); Stage-by-stage progress tracker (Quote → Approval → Order → Production → Delivery → Payment); Blocker and risk alerts with recommended actions; Expected completion dates for each pending stage; Customer-facing status summary (shareable); Historical activity log with all events and changes; Proactive notifications when status changes or issues arise; Comparison to similar deals (velocity benchmarking)</t>
        </is>
      </c>
      <c r="J41" s="33" t="inlineStr">
        <is>
          <t>Time saved on status inquiries per sales rep per week; Reduction in 'Where is my order?' customer inquiries; Deal cycle time visibility and predictability improvement; Proactive issue identification rate (before customer complaint); Sales rep satisfaction with deal visibility; Customer satisfaction with transparency and communication; Reduction in deals lost due to poor communication or delays; Forecast accuracy improvement through better visibility</t>
        </is>
      </c>
      <c r="K41" s="33" t="n"/>
      <c r="X41">
        <f>L41</f>
        <v/>
      </c>
    </row>
    <row r="42" ht="246.75" customHeight="1" s="113">
      <c r="A42" s="74" t="inlineStr">
        <is>
          <t>Revenue Cloud Agent</t>
        </is>
      </c>
      <c r="B42" s="74" t="inlineStr">
        <is>
          <t>Subscription Management Sub-Agent</t>
        </is>
      </c>
      <c r="C42" s="74" t="n"/>
      <c r="D42" s="74" t="inlineStr">
        <is>
          <t>N/A</t>
        </is>
      </c>
      <c r="E42" s="74" t="inlineStr">
        <is>
          <t>Salesforce Agentforce</t>
        </is>
      </c>
      <c r="F42" s="33" t="inlineStr">
        <is>
          <t>SF Revenue Cloud</t>
        </is>
      </c>
      <c r="G42" s="33" t="inlineStr">
        <is>
          <t>Subscription data (SF Revenue Cloud); Customer usage and consumption data; Contract terms and renewal dates; Customer engagement and product adoption metrics; Pricing and discount rules; Customer health score (CSM data); Historical renewal and churn patterns; Competitive intelligence and market pricing; Customer support ticket trends; Payment history and credit status</t>
        </is>
      </c>
      <c r="H42" s="33" t="inlineStr">
        <is>
          <t>Triggered by subscription lifecycle events (approaching renewal, usage threshold breach, contract anniversary, customer-initiated change request) or runs scheduled jobs for proactive management. Monitors subscription health by analyzing usage patterns, engagement metrics, and support interactions. Predicts renewal likelihood using ML models trained on historical churn data. For renewals, generates optimized renewal quotes considering usage trends, market pricing, competitive positioning, and customer health. For upgrades/downgrades, validates requested changes against usage patterns and recommends optimal tier. Automates routine subscription modifications (seat additions, usage adjustments) within defined parameters. For at-risk renewals, triggers proactive outreach with retention offers. Manages subscription amendments by validating pricing, proration calculations, and contract term impacts. Handles subscription consolidation for customers with multiple contracts. Ensures revenue recognition alignment with subscription changes.</t>
        </is>
      </c>
      <c r="I42" s="33" t="inlineStr">
        <is>
          <t>Renewal recommendations with optimized pricing; Churn risk alerts with retention strategies; Upsell/downsell recommendations based on usage; Automated subscription modifications (within policy); Prorated pricing calculations for mid-term changes; Contract consolidation suggestions; Renewal forecast with probability scores; Customer engagement playbooks for renewals; Revenue impact analysis for subscription changes</t>
        </is>
      </c>
      <c r="J42" s="33" t="inlineStr">
        <is>
          <t>Subscription renewal rate improvement; Net revenue retention (NRR) increase; Churn rate reduction; Time to process subscription changes; Upsell conversion rate from usage-based recommendations; Customer lifetime value (CLV) improvement; Subscription management operational efficiency; Revenue leakage reduction (pricing errors, missed renewals)</t>
        </is>
      </c>
      <c r="K42" s="33" t="n"/>
      <c r="X42">
        <f>L42</f>
        <v/>
      </c>
    </row>
    <row r="43" ht="261.75" customHeight="1" s="113">
      <c r="A43" s="74" t="inlineStr">
        <is>
          <t>Revenue Cloud Agent</t>
        </is>
      </c>
      <c r="B43" s="74" t="inlineStr">
        <is>
          <t>Revenue Recognition Sub-Agent</t>
        </is>
      </c>
      <c r="C43" s="74" t="n"/>
      <c r="D43" s="74" t="inlineStr">
        <is>
          <t>N/A</t>
        </is>
      </c>
      <c r="E43" s="74" t="inlineStr">
        <is>
          <t>Salesforce Agentforce</t>
        </is>
      </c>
      <c r="F43" s="33" t="inlineStr">
        <is>
          <t>SF Revenue Cloud</t>
        </is>
      </c>
      <c r="G43" s="33" t="inlineStr">
        <is>
          <t>Contract terms and revenue schedules (SF Revenue Cloud); Order and fulfillment data (SAP S/4HANA); Service delivery milestones and acceptance; Accounting standards and policies (ASC 606, IFRS 15); Performance obligations and deliverables; Stand-alone selling prices (SSP); Contract modifications and amendments; Variable consideration and constraints; Multi-element arrangement rules; Revenue allocation policies</t>
        </is>
      </c>
      <c r="H43" s="33" t="inlineStr">
        <is>
          <t>Triggered when new orders are created, contracts are signed, or delivery milestones are achieved. Analyzes contract terms to identify distinct performance obligations (products, services, subscriptions). Determines transaction price including variable consideration, discounts, and financing components. Allocates transaction price to performance obligations based on stand-alone selling prices using waterfall or residual approaches. Applies revenue recognition rules based on performance obligation type (point in time vs. over time). Creates revenue schedules considering contract start dates, service periods, and delivery milestones. Handles complex scenarios: contract modifications, cancellations, refunds, and amendments. Adjusts revenue schedules dynamically as contracts change or obligations are fulfilled. Ensures compliance with ASC 606/IFRS 15 requirements including disclosure tracking. Integrates with general ledger to post revenue recognition entries automatically. Maintains audit trail of all recognition decisions and rule applications. Flags unusual scenarios or policy exceptions for accounting review.</t>
        </is>
      </c>
      <c r="I43" s="33" t="inlineStr">
        <is>
          <t>Revenue recognition schedules by performance obligation; Transaction price allocation breakdowns; Automated journal entries for revenue posting; Deferred revenue tracking and forecasts; Revenue waterfall reports (bookings to recognized revenue); Compliance validation reports (ASC 606/IFRS 15); Contract modification impact analysis; Exception alerts requiring accounting review; Revenue disclosure data for financial reporting</t>
        </is>
      </c>
      <c r="J43" s="33" t="inlineStr">
        <is>
          <t>Revenue recognition cycle time (order to recognition); Manual accounting interventions (reduction); Audit finding rate related to revenue recognition; Revenue forecast accuracy improvement; Deferred revenue accuracy and predictability; Month-end close time reduction; Compliance adherence rate (ASC 606/IFRS 15); Revenue restatement incidents (reduction)</t>
        </is>
      </c>
      <c r="K43" s="33" t="n"/>
      <c r="X43">
        <f>L43</f>
        <v/>
      </c>
    </row>
    <row r="44" ht="277.5" customHeight="1" s="113">
      <c r="A44" s="74" t="inlineStr">
        <is>
          <t>Revenue Cloud Agent</t>
        </is>
      </c>
      <c r="B44" s="74" t="inlineStr">
        <is>
          <t>Contract Amendment Sub-Agent</t>
        </is>
      </c>
      <c r="C44" s="74" t="n"/>
      <c r="D44" s="74" t="inlineStr">
        <is>
          <t>N/A</t>
        </is>
      </c>
      <c r="E44" s="74" t="inlineStr">
        <is>
          <t>Salesforce Agentforce</t>
        </is>
      </c>
      <c r="F44" s="33" t="inlineStr">
        <is>
          <t>SF Revenue Cloud</t>
        </is>
      </c>
      <c r="G44" s="33" t="inlineStr">
        <is>
          <t>Original contract terms (SF Revenue Cloud); Amendment request details (scope, pricing, timing); Current revenue recognition schedules; Historical amendment patterns and approvals; Pricing and discount policies; Customer relationship and contract history; Legal and compliance requirements; Approval authority matrix; Revenue impact modeling rules; Contract change risk factors</t>
        </is>
      </c>
      <c r="H44" s="33" t="inlineStr">
        <is>
          <t>Triggered when customer or sales rep initiates contract change request (add products, change quantities, adjust pricing, extend/reduce term, modify service levels). Validates amendment request against contract terms, identifying restrictions or penalties. Calculates financial impact including proration, credit adjustments, new pricing, and term extensions. Determines whether amendment is treated as contract modification (cumulative catch-up) or new contract under revenue recognition rules. Recalculates revenue schedules considering remaining performance obligations and new transaction price. Evaluates amendment against business policies (discount thresholds, approval requirements, margin targets). Generates amendment quote with all pricing, credits, and term adjustments pre-filled. Routes for appropriate approvals based on financial impact and policy exceptions. Creates amendment documentation with clear explanation of changes and customer impact. Updates all related systems (billing, revenue recognition, order management) upon approval. Maintains version control and audit trail of all contract changes. Flags risky amendments (significant revenue reduction, unusual terms) for additional review.</t>
        </is>
      </c>
      <c r="I44" s="33" t="inlineStr">
        <is>
          <t>Amendment impact analysis (financial, revenue recognition, legal); Automated amendment quote with all adjustments; Proration and credit calculations; Updated revenue recognition schedules; Approval routing with justification package; Amendment documentation (customer-facing and internal); Risk assessment and compliance validation; System update coordination across platforms; Version-controlled contract history</t>
        </is>
      </c>
      <c r="J44" s="33" t="inlineStr">
        <is>
          <t>Amendment processing time (reduction); Amendment error rate (pricing, proration, revenue impact); Customer satisfaction with amendment process; Revenue leakage from amendment errors (reduction); Amendment approval cycle time; Self-service amendment success rate; Contract compliance with amendment policies; Amendment-related revenue restatements (reduction)</t>
        </is>
      </c>
      <c r="K44" s="33" t="n"/>
      <c r="X44">
        <f>L44</f>
        <v/>
      </c>
    </row>
    <row r="45" ht="277.5" customHeight="1" s="113">
      <c r="A45" s="74" t="inlineStr">
        <is>
          <t>Experience Cloud Agent</t>
        </is>
      </c>
      <c r="B45" s="74" t="inlineStr">
        <is>
          <t>Customer Portal Self-Service Sub-Agent</t>
        </is>
      </c>
      <c r="C45" s="74" t="n"/>
      <c r="D45" s="74" t="inlineStr">
        <is>
          <t>N/A</t>
        </is>
      </c>
      <c r="E45" s="74" t="inlineStr">
        <is>
          <t>Salesforce Agentforce</t>
        </is>
      </c>
      <c r="F45" s="33" t="inlineStr">
        <is>
          <t>SF Experience Cloud</t>
        </is>
      </c>
      <c r="G45" s="33" t="inlineStr">
        <is>
          <t>Customer account data (SF CRM); Order and delivery status (SAP S/4HANA); Product catalog and pricing (SF CPQ); Support case history (Service Cloud); Knowledge base and documentation; Invoice and payment data (SAP FI); User behavior and portal analytics; Customer preferences and permissions; Contract and entitlement data; Customer intent signals and query patterns</t>
        </is>
      </c>
      <c r="H45" s="33" t="inlineStr">
        <is>
          <t>Operates within customer-facing Experience Cloud portal, triggered by customer actions or queries. Acts as intelligent virtual assistant understanding customer intent through natural language processing. For order status inquiries, retrieves real-time data from multiple systems and presents unified timeline with shipment tracking. For document requests (invoices, quotes, contracts, certificates), identifies correct documents, verifies customer entitlement, and provides secure download links. For reorder requests, analyzes purchase history, checks current pricing and availability, and generates quote automatically. For simple support inquiries, searches knowledge base and provides relevant articles with contextual recommendations. For complex issues, intelligently routes to appropriate support team with full context. Enables self-service subscription management (view usage, upgrade/downgrade within limits, update billing info). Provides personalized product recommendations based on purchase history and usage patterns. Learns from successful vs. unsuccessful self-service interactions to improve deflection rates. Escalates to human agent when confidence is low or customer explicitly requests, providing full interaction context.</t>
        </is>
      </c>
      <c r="I45" s="33" t="inlineStr">
        <is>
          <t>Conversational responses to customer queries (chat/voice); Real-time order and delivery status with tracking; Automated document retrieval and download; Self-service quote generation for reorders; Contextual knowledge article recommendations; Subscription management interface (usage, billing, upgrades); Intelligent case creation and routing (when needed); Personalized product and service recommendations; Proactive notifications (order shipped, payment due, renewal approaching)</t>
        </is>
      </c>
      <c r="J45" s="33" t="inlineStr">
        <is>
          <t>Customer self-service deflection rate; Support case volume reduction; Customer satisfaction with portal experience (CSAT, NPS); Average time to resolution for self-service inquiries; Portal adoption rate and engagement metrics; Self-service transaction completion rate; Cost per customer interaction (reduction); Reorder conversion rate through portal</t>
        </is>
      </c>
      <c r="K45" s="33" t="n"/>
      <c r="X45">
        <f>L45</f>
        <v/>
      </c>
    </row>
    <row r="46" ht="292.5" customHeight="1" s="113">
      <c r="A46" s="74" t="inlineStr">
        <is>
          <t>Experience Cloud Agent</t>
        </is>
      </c>
      <c r="B46" s="74" t="inlineStr">
        <is>
          <t>Partner Onboarding Sub-Agent</t>
        </is>
      </c>
      <c r="C46" s="74" t="n"/>
      <c r="D46" s="74" t="inlineStr">
        <is>
          <t>N/A</t>
        </is>
      </c>
      <c r="E46" s="74" t="inlineStr">
        <is>
          <t>Salesforce Agentforce</t>
        </is>
      </c>
      <c r="F46" s="33" t="inlineStr">
        <is>
          <t>SF Experience Cloud (Partner Community)</t>
        </is>
      </c>
      <c r="G46" s="33" t="inlineStr">
        <is>
          <t>Partner application data (Experience Cloud forms); Partner business information (D&amp;B, credit bureaus); Compliance and certification requirements; Partner program tiers and benefits; Training and enablement content; Territory and product authorization rules; Legal agreements and contract templates; Partner relationship history (if existing); Reference checks and partner reputation data; Onboarding workflow and approval policies</t>
        </is>
      </c>
      <c r="H46" s="33" t="inlineStr">
        <is>
          <t>Triggered when prospective partner initiates registration through partner portal. Guides partner through structured onboarding journey with progressive disclosure of requirements. Validates partner information in real-time (company details, tax ID, business licenses) against external data sources. Performs automated compliance screening (sanctions lists, denied parties, conflict checks with existing partners). Assesses partner fit based on geographic coverage, technical capabilities, customer base, and strategic alignment. Recommends appropriate partner tier and program based on size, capabilities, and market focus. Generates customized partner agreement incorporating selected program terms, territory rights, and compensation structure. Routes for internal approvals based on partner tier and strategic importance. Orchestrates required training and certification completion, tracking progress and sending reminders. Provisions portal access, assigns territories, and configures product authorizations upon approval. Creates personalized enablement plan with onboarding milestones, training modules, and resource access. Assigns partner success manager and schedules kickoff activities. Monitors onboarding completion and flags at-risk partners who aren't progressing.</t>
        </is>
      </c>
      <c r="I46" s="33" t="inlineStr">
        <is>
          <t>Automated partner qualification assessment; Partner tier and program recommendations; Customized partner agreement generation; Compliance validation results; Onboarding workflow with milestones and tasks; Training and certification tracking dashboard; Territory and product authorization setup; Portal access provisioning; Personalized enablement plan and resources; Partner success manager assignment; Onboarding progress alerts and reminders</t>
        </is>
      </c>
      <c r="J46" s="33" t="inlineStr">
        <is>
          <t>Partner onboarding cycle time (reduction); Onboarding completion rate; Time to first partner-sourced deal; Partner satisfaction with onboarding experience; Partner ramp time to productivity; Manual onboarding task reduction; Partner retention rate (90-day, 1-year); Partner program ROI improvement</t>
        </is>
      </c>
      <c r="K46" s="33" t="n"/>
      <c r="X46">
        <f>L46</f>
        <v/>
      </c>
    </row>
    <row r="47" ht="323.25" customHeight="1" s="113">
      <c r="A47" s="74" t="inlineStr">
        <is>
          <t>Experience Cloud Agent</t>
        </is>
      </c>
      <c r="B47" s="74" t="inlineStr">
        <is>
          <t>Partner Deal Registration Sub-Agent</t>
        </is>
      </c>
      <c r="C47" s="74" t="n"/>
      <c r="D47" s="74" t="inlineStr">
        <is>
          <t>N/A</t>
        </is>
      </c>
      <c r="E47" s="74" t="inlineStr">
        <is>
          <t>Salesforce Agentforce</t>
        </is>
      </c>
      <c r="F47" s="33" t="inlineStr">
        <is>
          <t>SF Experience Cloud (Partner Community)</t>
        </is>
      </c>
      <c r="G47" s="33" t="inlineStr">
        <is>
          <t>Deal registration submission (partner portal); Partner account and tier information; Customer account data (SF CRM); Existing opportunity and pipeline data; Territory and partner assignment rules; Deal registration policies and approval criteria; Conflict detection rules (partner overlap, direct sales); Partner incentive and discount programs; Historical deal registration patterns; Customer relationship ownership data</t>
        </is>
      </c>
      <c r="H47" s="33" t="inlineStr">
        <is>
          <t>Triggered when partner submits deal registration through portal. Validates registration completeness, ensuring all required fields are provided (customer name, opportunity details, products, estimated value, timeline). Performs intelligent customer matching using fuzzy logic to identify existing customer accounts, preventing duplicate entries. Checks for conflicts with existing opportunities, other partner registrations, and direct sales activities. Evaluates partner eligibility based on territory rights, product authorizations, program tier, and certification status. Assesses deal registration against approval policies (minimum deal size, product mix, partner capability requirements). Scores deal quality using historical win rate data, customer profile, and competitive factors. For approved registrations, automatically creates protected opportunity in Salesforce with partner attribution. Assigns appropriate deal protection period based on opportunity stage and partner tier. Calculates partner discount and incentive eligibility, applying program rules automatically. Routes exceptional cases for manual review (conflicts, policy exceptions, strategic accounts). Sends real-time notifications to partner on approval status with clear next steps. Updates partner on opportunity progress and provides collaboration workspace with internal sales team. Tracks deal protection expiration and partner engagement to prevent shelf-ware registrations.</t>
        </is>
      </c>
      <c r="I47" s="33" t="inlineStr">
        <is>
          <t>Deal registration approval/rejection decision with rationale; Conflict detection results and resolution recommendations; Protected opportunity creation in Salesforce; Partner discount and incentive calculations; Deal protection period assignment; Collaboration workspace setup (partner + internal sales); Real-time status notifications to partner; Deal quality score and win probability; Required next actions for partner and sales team; Registration expiration tracking and alerts</t>
        </is>
      </c>
      <c r="J47" s="33" t="inlineStr">
        <is>
          <t>Deal registration processing time (reduction); Auto-approval rate for registrations; Partner-sourced pipeline growth; Win rate on partner-registered deals; Partner engagement and portal adoption; Conflict resolution time; Partner satisfaction with registration process; Channel revenue contribution increase; Shelf-ware registration rate (reduction)</t>
        </is>
      </c>
      <c r="K47" s="33" t="n"/>
      <c r="X47">
        <f>L47</f>
        <v/>
      </c>
    </row>
    <row r="48" ht="115.5" customHeight="1" s="113">
      <c r="A48" s="74" t="inlineStr">
        <is>
          <t>Employee Agent</t>
        </is>
      </c>
      <c r="B48" s="74" t="inlineStr">
        <is>
          <t>Sales Productivity Agent</t>
        </is>
      </c>
      <c r="C48" s="74" t="n"/>
      <c r="D48" s="74" t="inlineStr">
        <is>
          <t>N/A</t>
        </is>
      </c>
      <c r="E48" s="74" t="inlineStr">
        <is>
          <t>Salesforce Agentforce</t>
        </is>
      </c>
      <c r="K48" s="112" t="inlineStr">
        <is>
          <t>1. Daily task prioritization and prospecting; 2. Automated opportunity and quote creation; 3. Intelligent product and discount recommendations; 4. End-to-end quote lifecycle management; 5. Transcript summarization and follow-up scheduling</t>
        </is>
      </c>
      <c r="X48">
        <f>L48</f>
        <v/>
      </c>
    </row>
    <row r="49" ht="87" customHeight="1" s="113">
      <c r="A49" s="74" t="inlineStr">
        <is>
          <t>Employee Agent</t>
        </is>
      </c>
      <c r="B49" s="76" t="inlineStr">
        <is>
          <t>Customer Retention &amp; Insights Agent</t>
        </is>
      </c>
      <c r="C49" s="74" t="n"/>
      <c r="D49" s="74" t="inlineStr">
        <is>
          <t>N/A</t>
        </is>
      </c>
      <c r="E49" s="74" t="inlineStr">
        <is>
          <t>Salesforce Agentforce</t>
        </is>
      </c>
      <c r="K49" s="112" t="inlineStr">
        <is>
          <t>1. Proactive churn detection using usage and sentiment data; 2. Suggested retention actions (emails, follow-up tasks); 3. Integrated real-time knowledge and insights for sales reps (Employee Agent &amp; ADL)</t>
        </is>
      </c>
      <c r="X49">
        <f>L49</f>
        <v/>
      </c>
    </row>
    <row r="50" ht="43.5" customHeight="1" s="113">
      <c r="A50" s="74" t="inlineStr">
        <is>
          <t>Employee Agent</t>
        </is>
      </c>
      <c r="B50" s="77" t="inlineStr">
        <is>
          <t>Coaching Agent</t>
        </is>
      </c>
      <c r="C50" s="74" t="n"/>
      <c r="D50" s="74" t="inlineStr">
        <is>
          <t>N/A</t>
        </is>
      </c>
      <c r="E50" s="74" t="inlineStr">
        <is>
          <t>Salesforce Agentforce</t>
        </is>
      </c>
      <c r="K50" s="112" t="inlineStr">
        <is>
          <t>Sales Coach Agent provides real-time coaching and personalized feedback based on performance and call data</t>
        </is>
      </c>
      <c r="X50">
        <f>L50</f>
        <v/>
      </c>
    </row>
  </sheetData>
  <mergeCells count="9">
    <mergeCell ref="L1:W1"/>
    <mergeCell ref="A1:A6"/>
    <mergeCell ref="D1:D6"/>
    <mergeCell ref="C1:C6"/>
    <mergeCell ref="B1:B6"/>
    <mergeCell ref="E1:E6"/>
    <mergeCell ref="X1:AA1"/>
    <mergeCell ref="K1:K2"/>
    <mergeCell ref="F1:J1"/>
  </mergeCells>
  <pageMargins left="0.7" right="0.7" top="0.75" bottom="0.75" header="0.3" footer="0.3"/>
</worksheet>
</file>

<file path=xl/worksheets/sheet5.xml><?xml version="1.0" encoding="utf-8"?>
<worksheet xmlns="http://schemas.openxmlformats.org/spreadsheetml/2006/main">
  <sheetPr>
    <tabColor rgb="FFFFC000"/>
    <outlinePr summaryBelow="1" summaryRight="1"/>
    <pageSetUpPr/>
  </sheetPr>
  <dimension ref="A1:AC59"/>
  <sheetViews>
    <sheetView tabSelected="1" workbookViewId="0">
      <pane xSplit="3" ySplit="6" topLeftCell="E50" activePane="bottomRight" state="frozen"/>
      <selection pane="topRight" activeCell="A1" sqref="A1"/>
      <selection pane="bottomLeft" activeCell="A1" sqref="A1"/>
      <selection pane="bottomRight" activeCell="F54" sqref="F54"/>
    </sheetView>
  </sheetViews>
  <sheetFormatPr baseColWidth="10" defaultColWidth="40.6640625" defaultRowHeight="15" customHeight="1"/>
  <cols>
    <col width="19.5" customWidth="1" style="70" min="1" max="1"/>
    <col width="22.83203125" customWidth="1" style="70" min="2" max="2"/>
    <col width="61.5" customWidth="1" style="59" min="3" max="3"/>
    <col width="52.83203125" customWidth="1" style="70" min="4" max="5"/>
    <col width="111.83203125" customWidth="1" style="70" min="6" max="6"/>
    <col width="40.6640625" customWidth="1" style="70" min="7" max="9"/>
    <col width="60.6640625" customWidth="1" style="70" min="10" max="10"/>
    <col width="40.6640625" customWidth="1" style="70" min="11" max="14"/>
    <col width="40.6640625" customWidth="1" style="70" min="15" max="16384"/>
  </cols>
  <sheetData>
    <row r="1" ht="16" customHeight="1" s="113">
      <c r="A1" s="121" t="n"/>
      <c r="B1" s="121" t="n"/>
      <c r="C1" s="121" t="n"/>
      <c r="D1" s="121" t="n"/>
      <c r="E1" s="122" t="n"/>
      <c r="F1" s="122" t="n"/>
      <c r="G1" s="121" t="n"/>
      <c r="H1" s="123" t="inlineStr">
        <is>
          <t>Agent Specification</t>
        </is>
      </c>
      <c r="I1" s="163" t="n"/>
      <c r="J1" s="163" t="n"/>
      <c r="K1" s="163" t="n"/>
      <c r="L1" s="164" t="n"/>
      <c r="M1" s="126" t="inlineStr">
        <is>
          <t xml:space="preserve"> </t>
        </is>
      </c>
      <c r="N1" s="127" t="inlineStr">
        <is>
          <t>Siemens Criteria</t>
        </is>
      </c>
      <c r="O1" s="88" t="n"/>
      <c r="P1" s="88" t="n"/>
      <c r="Q1" s="88" t="n"/>
      <c r="R1" s="88" t="n"/>
      <c r="S1" s="88" t="n"/>
      <c r="T1" s="88" t="n"/>
      <c r="U1" s="88" t="n"/>
      <c r="V1" s="88" t="n"/>
      <c r="W1" s="88" t="n"/>
      <c r="X1" s="88" t="n"/>
      <c r="Y1" s="89" t="n"/>
      <c r="Z1" s="130" t="inlineStr">
        <is>
          <t>Value x Effort</t>
        </is>
      </c>
    </row>
    <row r="2" ht="16" customHeight="1" s="113">
      <c r="A2" s="121" t="n"/>
      <c r="B2" s="121" t="n"/>
      <c r="C2" s="121" t="n"/>
      <c r="D2" s="121" t="n"/>
      <c r="E2" s="122" t="n"/>
      <c r="F2" s="122" t="n"/>
      <c r="G2" s="121" t="n"/>
      <c r="H2" s="132" t="n"/>
      <c r="I2" s="132" t="n"/>
      <c r="J2" s="132" t="n"/>
      <c r="K2" s="132" t="n"/>
      <c r="L2" s="132" t="n"/>
      <c r="M2" s="133" t="n"/>
      <c r="N2" s="134" t="inlineStr">
        <is>
          <t>Business Value Potential</t>
        </is>
      </c>
      <c r="O2" s="134" t="n"/>
      <c r="P2" s="134" t="inlineStr">
        <is>
          <t>Cross-business Applicability</t>
        </is>
      </c>
      <c r="Q2" s="134" t="n"/>
      <c r="R2" s="134" t="inlineStr">
        <is>
          <t>Technical Complexity &amp; Feasibility</t>
        </is>
      </c>
      <c r="S2" s="134" t="n"/>
      <c r="T2" s="134" t="inlineStr">
        <is>
          <t>Data readiness and ACP compliance</t>
        </is>
      </c>
      <c r="U2" s="134" t="n"/>
      <c r="V2" s="134" t="inlineStr">
        <is>
          <t>Alignment with existing initiatives</t>
        </is>
      </c>
      <c r="W2" s="134" t="n"/>
      <c r="X2" s="134" t="inlineStr">
        <is>
          <t>User Impact &amp; Adoption Potential</t>
        </is>
      </c>
      <c r="Y2" s="134" t="n"/>
      <c r="Z2" s="135" t="inlineStr">
        <is>
          <t>Business Value</t>
        </is>
      </c>
      <c r="AA2" s="135" t="n"/>
      <c r="AB2" s="135" t="inlineStr">
        <is>
          <t>Implementation Effort</t>
        </is>
      </c>
      <c r="AC2" s="135" t="n"/>
    </row>
    <row r="3" ht="57.75" customHeight="1" s="113">
      <c r="A3" s="121" t="n"/>
      <c r="B3" s="121" t="n"/>
      <c r="C3" s="121" t="n"/>
      <c r="D3" s="121" t="n"/>
      <c r="E3" s="122" t="n"/>
      <c r="F3" s="122" t="n"/>
      <c r="G3" s="121" t="n"/>
      <c r="H3" s="132" t="n"/>
      <c r="I3" s="132" t="n"/>
      <c r="J3" s="132" t="n"/>
      <c r="K3" s="132" t="n"/>
      <c r="L3" s="132" t="n"/>
      <c r="M3" s="133" t="n"/>
      <c r="N3" s="136" t="inlineStr">
        <is>
          <t>Major penalty/loss prevention and/or direct revenue/profit driver + time to value &lt; 3 months</t>
        </is>
      </c>
      <c r="O3" s="136" t="n"/>
      <c r="P3" s="136" t="inlineStr">
        <is>
          <t>Applicable across all business divisions with minimal customization</t>
        </is>
      </c>
      <c r="Q3" s="136" t="n"/>
      <c r="R3" s="136" t="inlineStr">
        <is>
          <t>Requires integration across multiple systems with different technologies (e.g., Salesforce + SAP + others), complex data orchestration needs</t>
        </is>
      </c>
      <c r="S3" s="136" t="n"/>
      <c r="T3" s="136" t="inlineStr">
        <is>
          <t>Meets requirements: Use case can be implemented with ACP Level 2 or lower</t>
        </is>
      </c>
      <c r="U3" s="136" t="n"/>
      <c r="V3" s="136" t="inlineStr">
        <is>
          <t>Complements existing initiatives, creates synergies</t>
        </is>
      </c>
      <c r="W3" s="136" t="n"/>
      <c r="X3" s="136" t="inlineStr">
        <is>
          <t>Addresses Siemens pain point and a large user base that is employee-facing (e.g. Sales Reps)</t>
        </is>
      </c>
      <c r="Y3" s="136" t="n"/>
      <c r="Z3" s="137">
        <f>N3</f>
        <v/>
      </c>
      <c r="AA3" s="137" t="n"/>
      <c r="AB3" s="137" t="inlineStr">
        <is>
          <t xml:space="preserve">Requires &gt;6 months </t>
        </is>
      </c>
      <c r="AC3" s="137" t="n"/>
    </row>
    <row r="4" ht="43.5" customHeight="1" s="113">
      <c r="A4" s="121" t="n"/>
      <c r="B4" s="121" t="n"/>
      <c r="C4" s="121" t="n"/>
      <c r="D4" s="121" t="n"/>
      <c r="E4" s="122" t="n"/>
      <c r="F4" s="122" t="n"/>
      <c r="G4" s="121" t="n"/>
      <c r="H4" s="132" t="n"/>
      <c r="I4" s="132" t="n"/>
      <c r="J4" s="132" t="n"/>
      <c r="K4" s="132" t="n"/>
      <c r="L4" s="132" t="n"/>
      <c r="M4" s="133" t="n"/>
      <c r="N4" s="136" t="inlineStr">
        <is>
          <t>Moderate efficiency gains and/or indirect contribution + time to value 3-6 months</t>
        </is>
      </c>
      <c r="O4" s="136" t="n"/>
      <c r="P4" s="136" t="inlineStr">
        <is>
          <t>Widely applicable but requires some customization per business division</t>
        </is>
      </c>
      <c r="Q4" s="136" t="n"/>
      <c r="R4" s="136" t="inlineStr">
        <is>
          <t>Requires integration between 1-2 systems on similar technology (e.g., multiple Salesforce orgs), standard data requirements</t>
        </is>
      </c>
      <c r="S4" s="136" t="n"/>
      <c r="T4" s="138" t="inlineStr">
        <is>
          <t>-</t>
        </is>
      </c>
      <c r="U4" s="138" t="n"/>
      <c r="V4" s="136" t="inlineStr">
        <is>
          <t>No overlap, independent initiative</t>
        </is>
      </c>
      <c r="W4" s="136" t="n"/>
      <c r="X4" s="136" t="inlineStr">
        <is>
          <t>Addresses Siemens pain point and a affects a smaller number of user or user base is customer-facing</t>
        </is>
      </c>
      <c r="Y4" s="136" t="n"/>
      <c r="Z4" s="137">
        <f>N4</f>
        <v/>
      </c>
      <c r="AA4" s="137" t="n"/>
      <c r="AB4" s="137" t="inlineStr">
        <is>
          <t>Requires 3-6 months</t>
        </is>
      </c>
      <c r="AC4" s="137" t="n"/>
    </row>
    <row r="5" ht="43.5" customFormat="1" customHeight="1" s="71">
      <c r="A5" s="139" t="n"/>
      <c r="B5" s="139" t="n"/>
      <c r="C5" s="139" t="n"/>
      <c r="D5" s="139" t="n"/>
      <c r="E5" s="140" t="n"/>
      <c r="F5" s="140" t="n"/>
      <c r="G5" s="139" t="n"/>
      <c r="H5" s="132" t="inlineStr">
        <is>
          <t>Host System</t>
        </is>
      </c>
      <c r="I5" s="132" t="inlineStr">
        <is>
          <t>Input (Sources/Supplier)</t>
        </is>
      </c>
      <c r="J5" s="132" t="inlineStr">
        <is>
          <t>How does this agent technically work?</t>
        </is>
      </c>
      <c r="K5" s="132" t="inlineStr">
        <is>
          <t>Agent Output</t>
        </is>
      </c>
      <c r="L5" s="132" t="inlineStr">
        <is>
          <t>KPIs to measure business impact</t>
        </is>
      </c>
      <c r="M5" s="133" t="inlineStr">
        <is>
          <t>ACN Asset</t>
        </is>
      </c>
      <c r="N5" s="136" t="inlineStr">
        <is>
          <t>Minor savings and/or cost savings only + time to value &gt; 6 months</t>
        </is>
      </c>
      <c r="O5" s="136" t="n"/>
      <c r="P5" s="136" t="inlineStr">
        <is>
          <t>Limited to single business division or single use case</t>
        </is>
      </c>
      <c r="Q5" s="136" t="n"/>
      <c r="R5" s="136" t="inlineStr">
        <is>
          <t>Self-contained within one system (e.g., Salesforce), no external integrations required, aligns with existing AI standards</t>
        </is>
      </c>
      <c r="S5" s="136" t="n"/>
      <c r="T5" s="136" t="inlineStr">
        <is>
          <t>Does not meet requirements: Requires ACP Level 3 or higher (potential blocker)</t>
        </is>
      </c>
      <c r="U5" s="136" t="n"/>
      <c r="V5" s="136" t="inlineStr">
        <is>
          <t>Duplicates existing efforts or conflicts with current business roadmap(s)</t>
        </is>
      </c>
      <c r="W5" s="136" t="n"/>
      <c r="X5" s="136" t="inlineStr">
        <is>
          <t>Does not address a Siemens pain point</t>
        </is>
      </c>
      <c r="Y5" s="136" t="n"/>
      <c r="Z5" s="137">
        <f>N5</f>
        <v/>
      </c>
      <c r="AA5" s="137" t="n"/>
      <c r="AB5" s="137" t="inlineStr">
        <is>
          <t>Can be implemented in ≤3 months</t>
        </is>
      </c>
      <c r="AC5" s="137" t="n"/>
    </row>
    <row r="6" ht="72.75" customFormat="1" customHeight="1" s="59">
      <c r="A6" s="139" t="inlineStr">
        <is>
          <t>Super Agent Use Case</t>
        </is>
      </c>
      <c r="B6" s="139" t="inlineStr">
        <is>
          <t>Sub-Agent Use Cases</t>
        </is>
      </c>
      <c r="C6" s="140" t="inlineStr">
        <is>
          <t>Agent Description (short)</t>
        </is>
      </c>
      <c r="D6" s="139" t="inlineStr">
        <is>
          <t>Pain Point Addressed</t>
        </is>
      </c>
      <c r="E6" s="141" t="inlineStr">
        <is>
          <t>Agent Practicality and Tech. 
(Does this qualify to be AI Agent use case? If yes, what is the agent tech?)</t>
        </is>
      </c>
      <c r="F6" s="141" t="inlineStr">
        <is>
          <t>Rationale for column E</t>
        </is>
      </c>
      <c r="G6" s="139" t="inlineStr">
        <is>
          <t>Used Technology</t>
        </is>
      </c>
      <c r="H6" s="142" t="inlineStr">
        <is>
          <t>What system does the agent mostly operate in</t>
        </is>
      </c>
      <c r="I6" s="142" t="inlineStr">
        <is>
          <t>What are the input sources</t>
        </is>
      </c>
      <c r="J6" s="142" t="inlineStr">
        <is>
          <t>What does the agent do, from trigger to operating mode</t>
        </is>
      </c>
      <c r="K6" s="142" t="inlineStr">
        <is>
          <t>What is the agents output</t>
        </is>
      </c>
      <c r="L6" s="142" t="inlineStr">
        <is>
          <t>How can we determine the value of each agent</t>
        </is>
      </c>
      <c r="M6" s="142" t="n"/>
      <c r="N6" s="143" t="inlineStr">
        <is>
          <t>The agents should be able to provide quick wins and demonstrate measurable business impact, such as improved productivity, cost savings, or revenue generation.</t>
        </is>
      </c>
      <c r="O6" s="143" t="n"/>
      <c r="P6" s="143" t="inlineStr">
        <is>
          <t>The agents should not be limited to a specific business division (e.g., DI or SI) but should be applicable across the organization.</t>
        </is>
      </c>
      <c r="Q6" s="143" t="n"/>
      <c r="R6" s="143" t="inlineStr">
        <is>
          <t>The agents should be feasible to implement within the existing technical constraints and align with Siemens' AI standards and orchestration capabilities (e.g. data cloud capabilities).</t>
        </is>
      </c>
      <c r="S6" s="143" t="n"/>
      <c r="T6" s="143" t="inlineStr">
        <is>
          <t>The agents should not require level 3 as this would be an additional challenge (e.g. SieSales currently has ACP level 2 data).</t>
        </is>
      </c>
      <c r="U6" s="143" t="n"/>
      <c r="V6" s="143" t="inlineStr">
        <is>
          <t>The agents should not duplicate efforts or overlap with the agent use cases already being worked on by the team. -&gt; No overlap (no), yes there are similar use cases already worked on based on SI/DI/Agentforce use cases (yes)</t>
        </is>
      </c>
      <c r="W6" s="143" t="n"/>
      <c r="X6" s="143" t="inlineStr">
        <is>
          <t>The agents should address the needs of a significant user base and target specific pain points or gaps in the current CRM usage.</t>
        </is>
      </c>
      <c r="Y6" s="143" t="n"/>
      <c r="Z6" s="144" t="inlineStr">
        <is>
          <t>As before based on "cost avoidance", "sales &amp; profitability" and "time to value (months)". -&gt; see "Business Value Potential"</t>
        </is>
      </c>
      <c r="AA6" s="144" t="n"/>
      <c r="AB6" s="144" t="inlineStr">
        <is>
          <t>Based on implementation time.</t>
        </is>
      </c>
      <c r="AC6" s="144" t="n"/>
    </row>
    <row r="7" ht="183" customHeight="1" s="113">
      <c r="A7" s="145" t="inlineStr">
        <is>
          <t>Master Data Quality Agent</t>
        </is>
      </c>
      <c r="B7" s="145" t="inlineStr">
        <is>
          <t>Duplicate Detection Sub-Agent</t>
        </is>
      </c>
      <c r="C7" s="146" t="inlineStr">
        <is>
          <t>Detects when the same corporate account (company) exists multiple times in CRM/ERP by comparing company names, tax IDs, DUNS numbers, and registered addresses using similarity scoring (e.g., 'Siemens AG' vs 'Siemens A.G.' scores 95% match). Flags duplicates for merge or manual review.</t>
        </is>
      </c>
      <c r="D7" s="146" t="inlineStr">
        <is>
          <t>[Data Fragmentation &amp; Siloed Information] Same corporate account exists 3-5 times across CRM/ERP systems with different spellings (e.g., 'BMW AG', 'BMW Group', 'Bayerische Motoren Werke'). Sales reps unknowingly compete on same account. Credit limits fragmented. Account history incomplete.</t>
        </is>
      </c>
      <c r="E7" s="122" t="inlineStr">
        <is>
          <t>Does not qualify as AI Agent</t>
        </is>
      </c>
      <c r="F7" s="122" t="inlineStr">
        <is>
          <t>RATIONALE:
TECHNOLOGY: OOB: SAP MDG Duplicate Check, Salesforce Data Cloud Matching Rules | CUSTOM: MuleSoft cross-system sync
EVIDENCE FROM HOST SYSTEM (SAP MDG):
- SAP MDG has built-in OOB duplicate detection
- Primary system is ERP, not Salesforce-native
EVIDENCE FROM INPUT SOURCES:
- Structured data with predefined fuzzy matching rules
- No learned patterns, no ML training data specified
CONCLUSION: Core functionality (fuzzy matching, similarity scoring 0-100%, auto-merge &gt;95%, cross-system sync) is achievable with OOB tools. AI designation requires adding genuine ML (e.g., learning from data steward merge/reject decisions).</t>
        </is>
      </c>
      <c r="G7" s="146" t="inlineStr">
        <is>
          <t>OOB: SAP MDG Duplicate Check, Salesforce Data Cloud Matching Rules | CUSTOM: MuleSoft integration for cross-system deduplication workflow (sync duplicates flagged in either system)</t>
        </is>
      </c>
      <c r="H7" s="146" t="inlineStr">
        <is>
          <t>SAP MDG + Salesforce Data Cloud (OOB). MuleSoft cross-system sync (CUSTOM).</t>
        </is>
      </c>
      <c r="I7" s="146" t="inlineStr">
        <is>
          <t>Corporate account records (Salesforce CRM, SAP MDG); Company name variations; Tax IDs (VAT, DUNS); Registered addresses; Account hierarchies</t>
        </is>
      </c>
      <c r="J7" s="146" t="inlineStr">
        <is>
          <t>Triggered on new/changed corporate account records in either Salesforce or SAP MDG. SAP MDG Duplicate Check and Salesforce Data Cloud Matching Rules run similarity algorithms on company name, tax ID, address. Scores matches (0-100%). High-confidence duplicates (&gt;95%) auto-merged; others queued for data steward review.</t>
        </is>
      </c>
      <c r="K7" s="146" t="inlineStr">
        <is>
          <t>Duplicate alerts with confidence score; Merge recommendations; Auto-merge execution (&gt;95%); Cross-system duplicate notification via MuleSoft</t>
        </is>
      </c>
      <c r="L7" s="146" t="inlineStr">
        <is>
          <t>Duplicate record reduction rate; False positive rate (&lt;5% target); Auto-merge accuracy; Sales rep time saved (hours/week)</t>
        </is>
      </c>
      <c r="M7" s="147" t="n"/>
      <c r="N7" s="148" t="inlineStr">
        <is>
          <t>Low</t>
        </is>
      </c>
      <c r="O7" s="148" t="inlineStr">
        <is>
          <t>Limited direct revenue impact. Primarily operational efficiency. Consider bundling with related agents to increase value proposition.</t>
        </is>
      </c>
      <c r="P7" s="148" t="inlineStr">
        <is>
          <t>High</t>
        </is>
      </c>
      <c r="Q7" s="148" t="inlineStr">
        <is>
          <t>Master data quality affects all divisions using shared CRM/ERP systems. Duplicate accounts, address errors, and data inconsistencies impact DI, SI, and MO equally.</t>
        </is>
      </c>
      <c r="R7" s="148" t="inlineStr">
        <is>
          <t>Medium</t>
        </is>
      </c>
      <c r="S7" s="148" t="inlineStr">
        <is>
          <t>2 system integrations required. Systems: SAP MDG, Salesforce Data Cloud, MuleSoft. Some custom development needed. Standard connectors and APIs available.</t>
        </is>
      </c>
      <c r="T7" s="148" t="inlineStr">
        <is>
          <t>High</t>
        </is>
      </c>
      <c r="U7" s="148" t="inlineStr">
        <is>
          <t>Standard CRM data. ACP Level 2 sufficient for implementation.</t>
        </is>
      </c>
      <c r="V7" s="148" t="inlineStr">
        <is>
          <t>Medium</t>
        </is>
      </c>
      <c r="W7" s="148" t="inlineStr">
        <is>
          <t>RELATED SAP SOLUTION: SAP Master Data Consistency (F18) - AVAILABLE in SAP Joule catalog, NOT DEPLOYED at Siemens. (SOURCE: SAP Joule Feature List - external, requires Siemens IT verification). SAP F18 function: Checks data consistency within S/4HANA MDG. SPECIFIC DIFFERENTIATOR: Duplicate Detection operates in SALESFORCE (Account/Contact dedup), not S/4HANA MDG. Different data sources (SFDC vs SAP), different matching algorithms. Checked: AF (12), DI (10), SI (9) - NONE address Salesforce-specific deduplication.</t>
        </is>
      </c>
      <c r="X7" s="148" t="inlineStr">
        <is>
          <t>Medium</t>
        </is>
      </c>
      <c r="Y7" s="148" t="inlineStr">
        <is>
          <t>Addresses [Data Fragmentation &amp; Siloed Information] pain point. 'Same corporate account exists 3-5 times across CRM/ERP systems with different spellings (e...'. Moderate user impact.</t>
        </is>
      </c>
      <c r="Z7" s="148" t="inlineStr">
        <is>
          <t>Low</t>
        </is>
      </c>
      <c r="AA7" s="148" t="inlineStr">
        <is>
          <t>Limited direct revenue impact. Primarily operational efficiency. Consider bundling with related agents to increase value proposition.</t>
        </is>
      </c>
      <c r="AB7" s="148" t="inlineStr">
        <is>
          <t>High</t>
        </is>
      </c>
      <c r="AC7" s="148" t="inlineStr">
        <is>
          <t>Extended timeline: &gt;6 months. Complex factors: SAP integration, custom development. Plan for phased rollout.</t>
        </is>
      </c>
    </row>
    <row r="8" ht="72.75" customHeight="1" s="113">
      <c r="A8" s="145" t="inlineStr">
        <is>
          <t>Master Data Quality Agent</t>
        </is>
      </c>
      <c r="B8" s="145" t="inlineStr">
        <is>
          <t>Address Validation Sub-Agent</t>
        </is>
      </c>
      <c r="C8" s="146" t="inlineStr">
        <is>
          <t>Validates business ship-to addresses (factories, warehouses, distribution centers) and bill-to addresses (corporate headquarters, regional finance offices) against commercial postal databases. Standardizes formats, adds missing postal codes, and validates dock/bay numbers for industrial deliveries.</t>
        </is>
      </c>
      <c r="D8" s="146" t="inlineStr">
        <is>
          <t>[Data Fragmentation &amp; Siloed Information] Ship-to and bill-to addresses stored differently across CRM, ERP, and logistics systems. Industrial shipments returned because address formats don't match carrier requirements. Missing dock numbers and building codes cause delivery failures.</t>
        </is>
      </c>
      <c r="E8" s="122" t="inlineStr">
        <is>
          <t>Does not qualify as AI Agent</t>
        </is>
      </c>
      <c r="F8" s="122" t="inlineStr">
        <is>
          <t>RATIONALE:
TECHNOLOGY: OOB: SAP MDG Address Validation with SAP Address Directory, Loqate/Melissa API
AI QUALIFICATION: NO
- Address validation is deterministic rule-based processing
- Postal database lookup, format standardization, postal code matching
- Dock/bay number validation follows fixed industrial address formats
- No learning, prediction, or NLP required
SIEMENS CRITERIA ASSESSMENT:
- Business Value: HIGH (reduces delivery failures, carrier rejections)
- Cross-business Applicability: HIGH (all divisions ship products)
- Technical Complexity: LOW (OOB tools available)
- ACP Compliance: Level 1 (OOB configuration)
- Alignment with Initiatives: MEDIUM (data quality initiative)
- User Impact: MEDIUM (automatic corrections reduce manual work)
CONCLUSION: Valuable functionality but OOB SAP MDG Address Validation and Salesforce validation rules are sufficient. AI adds no incremental value over existing postal database APIs.</t>
        </is>
      </c>
      <c r="G8" s="146" t="inlineStr">
        <is>
          <t>OOB: SAP MDG Address Validation with SAP Address Directory | CONFIG: Validation rules for B2B industrial addresses (dock numbers, building codes) | ALTERNATIVE: Loqate/Melissa API if SAP coverage insufficient</t>
        </is>
      </c>
      <c r="H8" s="146" t="inlineStr">
        <is>
          <t>SAP MDG (OOB). Configure B2B address rules.</t>
        </is>
      </c>
      <c r="I8" s="146" t="inlineStr">
        <is>
          <t>Ship-to addresses (factories, warehouses, DCs); Bill-to addresses (HQ, regional offices); SAP Address Directory; Loqate/Melissa API (if needed)</t>
        </is>
      </c>
      <c r="J8" s="146" t="inlineStr">
        <is>
          <t>Triggered on address creation/update in Salesforce or SAP MDG. SAP MDG Address Validation standardizes format, validates against postal databases, adds missing postal codes. For industrial addresses, validates dock numbers and building codes. Auto-corrects minor errors; flags major issues for manual review.</t>
        </is>
      </c>
      <c r="K8" s="146" t="inlineStr">
        <is>
          <t>Validated addresses with standardized format; Correction suggestions; Validation status (Valid/Invalid/Corrected); Industrial location details (dock, bay)</t>
        </is>
      </c>
      <c r="L8" s="146" t="inlineStr">
        <is>
          <t>Delivery failure reduction %; Address validation success rate; Auto-correction rate; Reshipment cost savings (€)</t>
        </is>
      </c>
      <c r="M8" s="147" t="n"/>
      <c r="N8" s="121" t="inlineStr">
        <is>
          <t>High</t>
        </is>
      </c>
      <c r="O8" s="121" t="inlineStr">
        <is>
          <t>Strong business impact based on operational efficiency gains. Addresses [Data Fragmentation &amp; Siloed Information] pain point with measurable ROI.</t>
        </is>
      </c>
      <c r="P8" s="121" t="inlineStr">
        <is>
          <t>High</t>
        </is>
      </c>
      <c r="Q8" s="121" t="inlineStr">
        <is>
          <t>Master data quality affects all divisions using shared CRM/ERP systems. Duplicate accounts, address errors, and data inconsistencies impact DI, SI, and MO equally.</t>
        </is>
      </c>
      <c r="R8" s="121" t="inlineStr">
        <is>
          <t>Medium</t>
        </is>
      </c>
      <c r="S8" s="121" t="inlineStr">
        <is>
          <t>1 system integration required. Systems: SAP MDG. Standard connectors and APIs available.</t>
        </is>
      </c>
      <c r="T8" s="121" t="inlineStr">
        <is>
          <t>High</t>
        </is>
      </c>
      <c r="U8" s="121" t="inlineStr">
        <is>
          <t>Standard CRM data. ACP Level 2 sufficient for implementation.</t>
        </is>
      </c>
      <c r="V8" s="121" t="inlineStr">
        <is>
          <t>Medium</t>
        </is>
      </c>
      <c r="W8" s="149" t="inlineStr">
        <is>
          <t>RELATED SAP SOLUTION: SAP Master Data Consistency (F18) - AVAILABLE in SAP Joule catalog, NOT DEPLOYED at Siemens. (SOURCE: SAP Joule Feature List - external). SPECIFIC DIFFERENTIATOR: Address Validation integrates with EXTERNAL services (USPS, Google Maps API, Loqate) for Salesforce addresses. F18 validates within SAP MDG only. Checked: AF (12), DI (10), SI (9) - NONE address Salesforce address validation.</t>
        </is>
      </c>
      <c r="X8" s="149" t="inlineStr">
        <is>
          <t>High</t>
        </is>
      </c>
      <c r="Y8" s="149" t="inlineStr">
        <is>
          <t>Addresses critical pain: [Data Fragmentation &amp; Siloed Information]. Specific issue: 'Ship-to and bill-to addresses stored differently across CRM, ERP, and logistics systems...'. Quantified impact in source data.</t>
        </is>
      </c>
      <c r="Z8" s="149" t="inlineStr">
        <is>
          <t>High</t>
        </is>
      </c>
      <c r="AA8" s="149" t="inlineStr">
        <is>
          <t>Strong business impact based on operational efficiency gains. Addresses [Data Fragmentation &amp; Siloed Information] pain point with measurable ROI.</t>
        </is>
      </c>
      <c r="AB8" s="149" t="inlineStr">
        <is>
          <t>Medium</t>
        </is>
      </c>
      <c r="AC8" s="149" t="inlineStr">
        <is>
          <t xml:space="preserve">Standard timeline: 3-6 months. 1 system integration. Key systems: SAP MDG. </t>
        </is>
      </c>
    </row>
    <row r="9" ht="72.75" customHeight="1" s="113">
      <c r="A9" s="145" t="inlineStr">
        <is>
          <t>Master Data Quality Agent</t>
        </is>
      </c>
      <c r="B9" s="145" t="inlineStr">
        <is>
          <t>Data Completeness Sub-Agent</t>
        </is>
      </c>
      <c r="C9" s="146" t="inlineStr">
        <is>
          <t>Checks corporate account records for missing mandatory fields required by business segment (e.g., manufacturing accounts need plant codes; distribution accounts need warehouse IDs). Calculates completeness score (0-100%) and triggers data steward workflows when critical fields are empty.</t>
        </is>
      </c>
      <c r="D9" s="146" t="inlineStr">
        <is>
          <t>[Data Fragmentation &amp; Siloed Information] Corporate account records missing critical fields across systems (tax ID in CRM, payment terms in ERP, industry code in MDM). Downstream processes blocked. Sales reps waste 2-3 hours per deal hunting for data scattered across systems.</t>
        </is>
      </c>
      <c r="E9" s="122" t="inlineStr">
        <is>
          <t>Does not qualify as AI Agent</t>
        </is>
      </c>
      <c r="F9" s="122" t="inlineStr">
        <is>
          <t>RATIONALE:
TECHNOLOGY: OOB: SAP MDG Data Quality Rules, Salesforce Validation Rules
AI QUALIFICATION: NO
- Completeness checking is deterministic (field present/missing)
- Scoring is simple calculation (filled fields / required fields × 100)
- Business segment rules are configured, not learned
- Workflow triggers follow fixed thresholds
SIEMENS CRITERIA ASSESSMENT:
- Business Value: HIGH (prevents downstream process blocks)
- Cross-business Applicability: HIGH (all divisions need complete data)
- Technical Complexity: LOW (OOB validation rules)
- ACP Compliance: Level 1 (OOB configuration)
- Alignment with Initiatives: HIGH (data quality initiative)
- User Impact: HIGH (saves 2-3 hours per deal on data hunting)
CONCLUSION: High-value data quality function but purely rule-based. OOB SAP MDG Data Quality Rules and Salesforce Validation Rules fully address this need without AI.</t>
        </is>
      </c>
      <c r="G9" s="146" t="inlineStr">
        <is>
          <t>OOB: SAP MDG Data Quality Rules, Salesforce Validation Rules | CONFIG: Define mandatory fields per business segment (manufacturing needs plant codes, distribution needs warehouse IDs)</t>
        </is>
      </c>
      <c r="H9" s="146" t="inlineStr">
        <is>
          <t>SAP MDG + Salesforce (OOB). Configure segment-specific rules.</t>
        </is>
      </c>
      <c r="I9" s="146" t="inlineStr">
        <is>
          <t>Corporate account master records (SAP MDG); Required field definitions by business segment; Segment rules (manufacturing, distribution, service)</t>
        </is>
      </c>
      <c r="J9" s="146" t="inlineStr">
        <is>
          <t>Triggered on record save in Salesforce or SAP MDG. SAP MDG Data Quality Rules evaluate completeness based on account segment (manufacturing accounts need plant codes; distribution needs warehouse IDs). Calculates completeness score (0-100%). Triggers data steward workflow when critical fields missing.</t>
        </is>
      </c>
      <c r="K9" s="146" t="inlineStr">
        <is>
          <t>Completeness score (0-100%); Missing critical fields list; Priority ranking by business impact; Data steward task queue</t>
        </is>
      </c>
      <c r="L9" s="146" t="inlineStr">
        <is>
          <t>Overall completeness score improvement; Critical field completion rate (&gt;95% target); Time to complete records; Blocked quotes due to missing data</t>
        </is>
      </c>
      <c r="M9" s="147" t="n"/>
      <c r="N9" s="121" t="inlineStr">
        <is>
          <t>High</t>
        </is>
      </c>
      <c r="O9" s="121" t="inlineStr">
        <is>
          <t>Strong business impact with quantified targets: &gt;95%. Addresses [Data Fragmentation &amp; Siloed Information] pain point with measurable ROI.</t>
        </is>
      </c>
      <c r="P9" s="121" t="inlineStr">
        <is>
          <t>High</t>
        </is>
      </c>
      <c r="Q9" s="121" t="inlineStr">
        <is>
          <t>Master data quality affects all divisions using shared CRM/ERP systems. Duplicate accounts, address errors, and data inconsistencies impact DI, SI, and MO equally.</t>
        </is>
      </c>
      <c r="R9" s="121" t="inlineStr">
        <is>
          <t>Medium</t>
        </is>
      </c>
      <c r="S9" s="121" t="inlineStr">
        <is>
          <t>2 system integrations required. Systems: SAP MDG. Standard connectors and APIs available.</t>
        </is>
      </c>
      <c r="T9" s="121" t="inlineStr">
        <is>
          <t>High</t>
        </is>
      </c>
      <c r="U9" s="121" t="inlineStr">
        <is>
          <t>Standard CRM data. ACP Level 2 sufficient for implementation.</t>
        </is>
      </c>
      <c r="V9" s="121" t="inlineStr">
        <is>
          <t>Medium</t>
        </is>
      </c>
      <c r="W9" s="149" t="inlineStr">
        <is>
          <t>RELATED SAP SOLUTION: SAP Master Data Consistency (F18) - AVAILABLE in SAP Joule catalog, NOT DEPLOYED at Siemens. (SOURCE: SAP Joule Feature List - external). SPECIFIC DIFFERENTIATOR: Data Completeness enforces SALESFORCE-specific required fields (custom objects, SieSales picklists, validation rules). F18 addresses S/4HANA MDG fields only. Checked: AF (12), DI (10), SI (9) - NONE address Salesforce data completeness.</t>
        </is>
      </c>
      <c r="X9" s="149" t="inlineStr">
        <is>
          <t>High</t>
        </is>
      </c>
      <c r="Y9" s="149" t="inlineStr">
        <is>
          <t>Addresses critical pain: [Data Fragmentation &amp; Siloed Information]. Specific issue: 'Corporate account records missing critical fields across systems (tax ID in CRM, payment terms in ERP, industry code in ...'. Quantified impact in source data.</t>
        </is>
      </c>
      <c r="Z9" s="149" t="inlineStr">
        <is>
          <t>High</t>
        </is>
      </c>
      <c r="AA9" s="149" t="inlineStr">
        <is>
          <t>Strong business impact with quantified targets: &gt;95%. Addresses [Data Fragmentation &amp; Siloed Information] pain point with measurable ROI.</t>
        </is>
      </c>
      <c r="AB9" s="149" t="inlineStr">
        <is>
          <t>Medium</t>
        </is>
      </c>
      <c r="AC9" s="149" t="inlineStr">
        <is>
          <t xml:space="preserve">Standard timeline: 3-6 months. 2 system integrations. Key systems: SAP MDG. </t>
        </is>
      </c>
    </row>
    <row r="10" ht="72.75" customHeight="1" s="113">
      <c r="A10" s="145" t="inlineStr">
        <is>
          <t>Master Data Quality Agent</t>
        </is>
      </c>
      <c r="B10" s="145" t="inlineStr">
        <is>
          <t>Data Consistency Sub-Agent</t>
        </is>
      </c>
      <c r="C10" s="146" t="inlineStr">
        <is>
          <t>Compares corporate account data across CRM, ERP, and CPQ systems to detect mismatches (e.g., credit limit is €500K in Salesforce but €300K in SAP). Identifies which system has the correct value based on update timestamps and data governance rules.</t>
        </is>
      </c>
      <c r="D10" s="146" t="inlineStr">
        <is>
          <t>[Data Fragmentation &amp; Siloed Information] Same corporate account has different values across systems: credit limit €500K in Salesforce vs €300K in SAP. Payment terms 'Net 30' in CRM vs 'Net 60' in ERP. No single source of truth. 5-10 hours per week spent reconciling.</t>
        </is>
      </c>
      <c r="E10" s="122" t="inlineStr">
        <is>
          <t>Does not qualify as AI Agent</t>
        </is>
      </c>
      <c r="F10" s="122" t="inlineStr">
        <is>
          <t>RATIONALE:
TECHNOLOGY: CUSTOM: MuleSoft cross-system data reconciliation
AI QUALIFICATION: NO
- Cross-system comparison is deterministic (value A ≠ value B)
- Golden source resolution follows explicit business rules (e.g., SAP MDG is master)
- Conflict detection compares timestamps and data governance rules
- No pattern learning, prediction, or NLP involved
SIEMENS CRITERIA ASSESSMENT:
- Business Value: HIGH (saves 5-10 hours/week on reconciliation)
- Cross-business Applicability: HIGH (all divisions have CRM/ERP data)
- Technical Complexity: MEDIUM (custom MuleSoft integration required)
- ACP Compliance: Level 2 (custom integration, no AI)
- Alignment with Initiatives: HIGH (integration platform initiative)
- User Impact: HIGH (single source of truth)
CONCLUSION: Requires custom MuleSoft development but logic is deterministic. Integration work, not AI work. Valuable but mislabeled as "agent".</t>
        </is>
      </c>
      <c r="G10" s="146" t="inlineStr">
        <is>
          <t>CUSTOM: MuleSoft cross-system data reconciliation (no OOB product compares data across CRM/ERP/CPQ). Build event-driven sync with conflict detection and golden source resolution.</t>
        </is>
      </c>
      <c r="H10" s="146" t="inlineStr">
        <is>
          <t>MuleSoft (CUSTOM). No OOB solution exists.</t>
        </is>
      </c>
      <c r="I10" s="146" t="inlineStr">
        <is>
          <t>Corporate account data from Salesforce CRM, SAP MDG, SAP S/4HANA; Cross-reference rules; Golden source definitions</t>
        </is>
      </c>
      <c r="J10" s="146" t="inlineStr">
        <is>
          <t>Triggered on sync events via MuleSoft. Custom reconciliation logic compares corporate account data across systems (credit limit, payment terms, account hierarchy). Detects mismatches. Applies golden source resolution rules (SAP MDG is master for customer data). Flags conflicts for manual resolution.</t>
        </is>
      </c>
      <c r="K10" s="146" t="inlineStr">
        <is>
          <t>Consistency violation reports; Auto-reconciliation actions; Conflict details with source comparison; Golden source update triggers</t>
        </is>
      </c>
      <c r="L10" s="146" t="inlineStr">
        <is>
          <t>Data consistency score across systems; Cross-system sync errors per week; Reconciliation time (hours saved); Invoice dispute reduction</t>
        </is>
      </c>
      <c r="M10" s="147" t="n"/>
      <c r="N10" s="121" t="inlineStr">
        <is>
          <t>Low</t>
        </is>
      </c>
      <c r="O10" s="121" t="inlineStr">
        <is>
          <t>Limited direct revenue impact. Primarily operational efficiency. Consider bundling with related agents to increase value proposition.</t>
        </is>
      </c>
      <c r="P10" s="121" t="inlineStr">
        <is>
          <t>High</t>
        </is>
      </c>
      <c r="Q10" s="121" t="inlineStr">
        <is>
          <t>Master data quality affects all divisions using shared CRM/ERP systems. Duplicate accounts, address errors, and data inconsistencies impact DI, SI, and MO equally.</t>
        </is>
      </c>
      <c r="R10" s="121" t="inlineStr">
        <is>
          <t>Medium</t>
        </is>
      </c>
      <c r="S10" s="121" t="inlineStr">
        <is>
          <t>1 system integration required. Systems: MuleSoft. Some custom development needed. Standard connectors and APIs available.</t>
        </is>
      </c>
      <c r="T10" s="121" t="inlineStr">
        <is>
          <t>High</t>
        </is>
      </c>
      <c r="U10" s="121" t="inlineStr">
        <is>
          <t>Standard CRM data. ACP Level 2 sufficient for implementation.</t>
        </is>
      </c>
      <c r="V10" s="121" t="inlineStr">
        <is>
          <t>Medium</t>
        </is>
      </c>
      <c r="W10" s="149" t="inlineStr">
        <is>
          <t>RELATED SAP SOLUTION: SAP Master Data Consistency (F18) - AVAILABLE in SAP Joule catalog, NOT DEPLOYED at Siemens. (SOURCE: SAP Joule Feature List - external). SPECIFIC DIFFERENTIATOR: Data Consistency validates CROSS-SYSTEM integrity (SFDC Account = SAP Customer, SFDC Product = SAP Material). F18 is SAP-internal only. Checked: AF (12), DI (10), SI (9) - NONE address cross-system data consistency.</t>
        </is>
      </c>
      <c r="X10" s="149" t="inlineStr">
        <is>
          <t>High</t>
        </is>
      </c>
      <c r="Y10" s="149" t="inlineStr">
        <is>
          <t>Addresses critical pain: [Data Fragmentation &amp; Siloed Information]. Specific issue: 'Same corporate account has different values across systems: credit limit €500K in Salesforce vs €300K in SAP...'. Quantified impact in source data.</t>
        </is>
      </c>
      <c r="Z10" s="149" t="inlineStr">
        <is>
          <t>Low</t>
        </is>
      </c>
      <c r="AA10" s="149" t="inlineStr">
        <is>
          <t>Limited direct revenue impact. Primarily operational efficiency. Consider bundling with related agents to increase value proposition.</t>
        </is>
      </c>
      <c r="AB10" s="149" t="inlineStr">
        <is>
          <t>High</t>
        </is>
      </c>
      <c r="AC10" s="149" t="inlineStr">
        <is>
          <t>Extended timeline: &gt;6 months. Complex factors: custom development. Plan for phased rollout.</t>
        </is>
      </c>
    </row>
    <row r="11" ht="72.75" customHeight="1" s="113">
      <c r="A11" s="145" t="inlineStr">
        <is>
          <t>Master Data Quality Agent</t>
        </is>
      </c>
      <c r="B11" s="145" t="inlineStr">
        <is>
          <t>Data Change Monitoring Sub-Agent</t>
        </is>
      </c>
      <c r="C11" s="146" t="inlineStr">
        <is>
          <t>Monitors all changes to corporate account master data (credit limits, payment terms, account hierarchies, legal entity names) and maintains audit trail. Alerts data stewards when unusual patterns occur (e.g., 50 accounts modified by same user in 1 hour).</t>
        </is>
      </c>
      <c r="D11" s="146" t="inlineStr">
        <is>
          <t>[Data Fragmentation &amp; Siloed Information] Changes to master data across systems not tracked centrally. Cannot trace who changed credit limits, payment terms, or account hierarchies. Audit failures from missing documentation. Data lineage unknown.</t>
        </is>
      </c>
      <c r="E11" s="122" t="inlineStr">
        <is>
          <t>Does not qualify as AI Agent</t>
        </is>
      </c>
      <c r="F11" s="122" t="inlineStr">
        <is>
          <t>RATIONALE:
TECHNOLOGY: OOB: SAP MDG Change Documents, Salesforce Shield Event Monitoring
AI QUALIFICATION: NO
- Change logging is built into both platforms
- Anomaly detection uses configured thresholds (e.g., &gt;50 changes/hour)
- Pattern rules are predefined, not learned from data
- Audit trail is standard platform capability
SIEMENS CRITERIA ASSESSMENT:
- Business Value: HIGH (SOX compliance, audit readiness)
- Cross-business Applicability: HIGH (all divisions need audit trails)
- Technical Complexity: LOW (OOB with configuration)
- ACP Compliance: Level 1 (OOB features)
- Alignment with Initiatives: HIGH (compliance initiative)
- User Impact: MEDIUM (data steward alerts)
CONCLUSION: Critical for compliance but fully addressed by OOB capabilities. SAP MDG Change Documents and Salesforce Shield provide exactly this functionality without AI.</t>
        </is>
      </c>
      <c r="G11" s="146" t="inlineStr">
        <is>
          <t>OOB: SAP MDG Change Documents, Salesforce Shield Event Monitoring | CONFIG: Alert rules for suspicious patterns (bulk changes, unauthorized users, off-hours modifications)</t>
        </is>
      </c>
      <c r="H11" s="146" t="inlineStr">
        <is>
          <t>SAP MDG + Salesforce Shield (OOB). Configure alert thresholds.</t>
        </is>
      </c>
      <c r="I11" s="146" t="inlineStr">
        <is>
          <t>Change logs from SAP MDG and Salesforce Shield; Audit rules; Suspicious pattern definitions (bulk changes, off-hours, unauthorized users)</t>
        </is>
      </c>
      <c r="J11" s="146" t="inlineStr">
        <is>
          <t>Continuously monitors via SAP MDG Change Documents and Salesforce Shield Event Monitoring. Detects anomalous patterns (50+ accounts modified by same user, credit limit changes outside business hours). Triggers alerts. Maintains SOX-compliant audit trail.</t>
        </is>
      </c>
      <c r="K11" s="146" t="inlineStr">
        <is>
          <t>Change history reports; Anomaly alerts with pattern details; Audit documentation for SOX compliance; Rollback recommendations</t>
        </is>
      </c>
      <c r="L11" s="146" t="inlineStr">
        <is>
          <t>Anomaly detection rate; Audit compliance score (100% target); Mean time to detect unauthorized changes; SOX audit findings reduction</t>
        </is>
      </c>
      <c r="M11" s="147" t="n"/>
      <c r="N11" s="121" t="inlineStr">
        <is>
          <t>High</t>
        </is>
      </c>
      <c r="O11" s="121" t="inlineStr">
        <is>
          <t>Strong business impact with quantified targets: 100%. Addresses [Data Fragmentation &amp; Siloed Information] pain point with measurable ROI.</t>
        </is>
      </c>
      <c r="P11" s="121" t="inlineStr">
        <is>
          <t>High</t>
        </is>
      </c>
      <c r="Q11" s="121" t="inlineStr">
        <is>
          <t>Master data quality affects all divisions using shared CRM/ERP systems. Duplicate accounts, address errors, and data inconsistencies impact DI, SI, and MO equally.</t>
        </is>
      </c>
      <c r="R11" s="121" t="inlineStr">
        <is>
          <t>Medium</t>
        </is>
      </c>
      <c r="S11" s="121" t="inlineStr">
        <is>
          <t>2 system integrations required. Systems: SAP MDG. Standard connectors and APIs available.</t>
        </is>
      </c>
      <c r="T11" s="121" t="inlineStr">
        <is>
          <t>High</t>
        </is>
      </c>
      <c r="U11" s="121" t="inlineStr">
        <is>
          <t>Standard CRM data. ACP Level 2 sufficient for implementation.</t>
        </is>
      </c>
      <c r="V11" s="121" t="inlineStr">
        <is>
          <t>Medium</t>
        </is>
      </c>
      <c r="W11" s="149" t="inlineStr">
        <is>
          <t>RELATED SAP SOLUTION: SAP Master Data Consistency (F18) - AVAILABLE in SAP Joule catalog, NOT DEPLOYED at Siemens. (SOURCE: SAP Joule Feature List - external). SPECIFIC DIFFERENTIATOR: Data Change Monitoring tracks SALESFORCE field changes in real-time using Platform Events. F18 monitors S/4HANA MDG changes only. Checked: AF (12), DI (10), SI (9) - NONE address Salesforce change tracking.</t>
        </is>
      </c>
      <c r="X11" s="149" t="inlineStr">
        <is>
          <t>High</t>
        </is>
      </c>
      <c r="Y11" s="149" t="inlineStr">
        <is>
          <t>Addresses critical pain: [Data Fragmentation &amp; Siloed Information]. Specific issue: 'Changes to master data across systems not tracked centrally...'. Quantified impact in source data.</t>
        </is>
      </c>
      <c r="Z11" s="149" t="inlineStr">
        <is>
          <t>High</t>
        </is>
      </c>
      <c r="AA11" s="149" t="inlineStr">
        <is>
          <t>Strong business impact with quantified targets: 100%. Addresses [Data Fragmentation &amp; Siloed Information] pain point with measurable ROI.</t>
        </is>
      </c>
      <c r="AB11" s="149" t="inlineStr">
        <is>
          <t>Medium</t>
        </is>
      </c>
      <c r="AC11" s="149" t="inlineStr">
        <is>
          <t xml:space="preserve">Standard timeline: 3-6 months. 2 system integrations. Key systems: SAP MDG. </t>
        </is>
      </c>
    </row>
    <row r="12" ht="72.75" customFormat="1" customHeight="1" s="73">
      <c r="A12" s="150" t="inlineStr">
        <is>
          <t>Master Data Quality Agent</t>
        </is>
      </c>
      <c r="B12" s="150" t="inlineStr">
        <is>
          <t>Data Enrichment Sub-Agent</t>
        </is>
      </c>
      <c r="C12" s="151" t="inlineStr">
        <is>
          <t>Retrieves firmographic data from Dun &amp; Bradstreet (D&amp;B) for corporate accounts: annual revenue, employee count, industry codes (SIC/NAICS), corporate hierarchy (parent/subsidiary relationships), and headquarters location. Fills gaps in account profiles to enable accurate segmentation.</t>
        </is>
      </c>
      <c r="D12" s="151" t="inlineStr">
        <is>
          <t>[Data Fragmentation &amp; Siloed Information] Firmographic data (revenue, employees, industry, parent company) incomplete or missing. Cannot segment corporate accounts accurately. Credit and sales decisions based on fragmented, outdated information or requirement to check in multiple systems.</t>
        </is>
      </c>
      <c r="E12" s="122" t="inlineStr">
        <is>
          <t>Does not qualify as AI Agent</t>
        </is>
      </c>
      <c r="F12" s="122" t="inlineStr">
        <is>
          <t>RATIONALE:
TECHNOLOGY: OOB: Salesforce Data Cloud + D&amp;B Connect API
AI QUALIFICATION: NO
- D&amp;B data retrieval is API lookup, not AI
- Data enrichment is deterministic field population
- Firmographic matching uses database queries, not ML
- "Agentforce Employee Agent assists reps with enrichment queries" = chat interface over database lookup
- Chat interface does not transform rule-based lookup into AI agent
EVIDENCE FROM TECHNICAL OPERATION:
- Trigger: New account or data gap detected
- Process: API call to D&amp;B → field mapping → record update
- No learning, no prediction, no autonomous decision-making
SIEMENS CRITERIA ASSESSMENT:
- Business Value: HIGH (data completeness)
- Cross-business Applicability: HIGH (all accounts)
- Technical Complexity: LOW (OOB integration)
- ACP Compliance: Level 1 (OOB)
- Alignment with Initiatives: MEDIUM
- User Impact: MEDIUM
CONCLUSION: This is data integration with a conversational UI, not an AI agent. The intelligence is in D&amp;B's data, not in any Siemens-trained model.</t>
        </is>
      </c>
      <c r="G12" s="151" t="inlineStr">
        <is>
          <t>OOB: Salesforce Data Cloud with D&amp;B Connect (AppExchange package) | CONFIG: Map D&amp;B fields to Siemens account segments | AGENTFORCE: Employee Agent assists reps with enrichment queries</t>
        </is>
      </c>
      <c r="H12" s="151" t="inlineStr">
        <is>
          <t>Salesforce Data Cloud + D&amp;B Connect (OOB). Agentforce Employee Agent (OOB).</t>
        </is>
      </c>
      <c r="I12" s="151" t="inlineStr">
        <is>
          <t>Corporate account records from Salesforce CRM; D&amp;B Connect API; Firmographic data (revenue, employees, industry, parent company); Agentforce Employee Agent queries</t>
        </is>
      </c>
      <c r="J12" s="152" t="inlineStr">
        <is>
          <t>Triggered on new account creation or when Data Completeness Sub-Agent identifies gaps. Salesforce Data Cloud with D&amp;B Connect retrieves firmographic data. Agentforce Employee Agent assists sales reps with enrichment queries. Validates data quality, merges with existing records. Weekly batch enrichment for currency.</t>
        </is>
      </c>
      <c r="K12" s="151" t="inlineStr">
        <is>
          <t>Enriched corporate account profiles; Firmographic data (revenue, employees, NAICS/SIC); Corporate hierarchy (parent/subsidiaries); Confidence scores; Data freshness timestamps</t>
        </is>
      </c>
      <c r="L12" s="151" t="inlineStr">
        <is>
          <t>Field fill rate improvement %; Enrichment match rate; Account segmentation accuracy; Credit decision accuracy lift</t>
        </is>
      </c>
      <c r="M12" s="121" t="n"/>
      <c r="N12" s="121" t="inlineStr">
        <is>
          <t>Low</t>
        </is>
      </c>
      <c r="O12" s="121" t="inlineStr">
        <is>
          <t>Limited direct revenue impact. Primarily operational efficiency. Consider bundling with related agents to increase value proposition.</t>
        </is>
      </c>
      <c r="P12" s="121" t="inlineStr">
        <is>
          <t>High</t>
        </is>
      </c>
      <c r="Q12" s="121" t="inlineStr">
        <is>
          <t>Master data quality affects all divisions using shared CRM/ERP systems. Duplicate accounts, address errors, and data inconsistencies impact DI, SI, and MO equally.</t>
        </is>
      </c>
      <c r="R12" s="121" t="inlineStr">
        <is>
          <t>Medium</t>
        </is>
      </c>
      <c r="S12" s="121" t="inlineStr">
        <is>
          <t>2 system integrations required. Systems: Salesforce Data Cloud, Agentforce Employee Agent. Standard connectors and APIs available.</t>
        </is>
      </c>
      <c r="T12" s="121" t="inlineStr">
        <is>
          <t>High</t>
        </is>
      </c>
      <c r="U12" s="121" t="inlineStr">
        <is>
          <t>Standard CRM data. ACP Level 2 sufficient for implementation.</t>
        </is>
      </c>
      <c r="V12" s="121" t="inlineStr">
        <is>
          <t>Medium</t>
        </is>
      </c>
      <c r="W12" s="148" t="inlineStr">
        <is>
          <t>RELATED BUT DIFFERENT FUNCTION: SieSales Employee Agent (AF Tab Row 7, IN IMPLEMENTATION) SUMMARIZES existing CRM records. This agent ENRICHES with EXTERNAL data from D&amp;B (firmographics, revenue, employee count, corporate hierarchy). Different functions: Summarization of internal data vs Addition of external data. HOWEVER: Row 12 description mentions 'Agentforce Employee Agent assists reps with enrichment queries' - so there IS integration touchpoint. STATUS: MEDIUM - not direct conflict but coordinate with Customer 360 team on data model alignment. RECOMMENDATION: Ensure D&amp;B enriched fields feed into Customer 360 summaries.</t>
        </is>
      </c>
      <c r="X12" s="148" t="inlineStr">
        <is>
          <t>High</t>
        </is>
      </c>
      <c r="Y12" s="148" t="inlineStr">
        <is>
          <t>Addresses critical pain: [Data Fragmentation &amp; Siloed Information]. Specific issue: 'Firmographic data (revenue, employees, industry, parent company) incomplete or missing...'. Quantified impact in source data.</t>
        </is>
      </c>
      <c r="Z12" s="148" t="inlineStr">
        <is>
          <t>Low</t>
        </is>
      </c>
      <c r="AA12" s="148" t="inlineStr">
        <is>
          <t>Limited direct revenue impact. Primarily operational efficiency. Consider bundling with related agents to increase value proposition.</t>
        </is>
      </c>
      <c r="AB12" s="148" t="inlineStr">
        <is>
          <t>Low</t>
        </is>
      </c>
      <c r="AC12" s="148" t="inlineStr">
        <is>
          <t>Quick win: ≤3 months. Primarily OOB configuration. Systems: Salesforce Data Cloud, Agentforce Employee Agent. Minimal dependencies.</t>
        </is>
      </c>
    </row>
    <row r="13" ht="72.75" customHeight="1" s="113">
      <c r="A13" s="145" t="inlineStr">
        <is>
          <t>Quote Configuration Agent</t>
        </is>
      </c>
      <c r="B13" s="145" t="inlineStr">
        <is>
          <t>Product Recommendation Sub-Agent</t>
        </is>
      </c>
      <c r="C13" s="153" t="inlineStr">
        <is>
          <t>Analyzes what products a corporate account has purchased historically, their industry vertical, and company size to suggest relevant additional products. Example: A manufacturing account buying PLCs likely needs HMI panels and industrial networking equipment.</t>
        </is>
      </c>
      <c r="D13" s="146" t="inlineStr">
        <is>
          <t>[Information Overload &amp; Decision Paralysis] Sales reps overwhelmed by 10,000+ SKU product catalog. Cannot identify which products fit corporate account's needs. No intelligent navigation through complex industrial portfolios. Decision paralysis leads to suboptimal recommendations.</t>
        </is>
      </c>
      <c r="E13" s="122" t="inlineStr">
        <is>
          <t>Qualifies - Salesforce Agentforce Sales</t>
        </is>
      </c>
      <c r="F13" s="122" t="inlineStr">
        <is>
          <t>RATIONALE:
TECHNOLOGY: OOB: Salesforce Einstein Recommendation Builder + Agentforce Sales Agent
AI QUALIFICATION: YES
- Einstein Recommendation Builder uses ML to analyze purchase history, industry vertical, company size
- Agentforce Sales Agent delivers recommendations with NLP conversational interface
- Pattern recognition across 10,000+ SKU catalog
- Model learns from sales outcomes
SIEMENS CRITERIA ASSESSMENT:
- Business Value: HIGH (addresses 10,000+ SKU decision paralysis)
- Cross-business Applicability: HIGH (all sales divisions)
- Technical Complexity: LOW (OOB Salesforce platform)
- ACP Compliance: Level 1 (OOB Einstein + Agentforce)
- Alignment with Initiatives: HIGH (Salesforce Einstein initiative)
- User Impact: HIGH (intelligent catalog navigation)
PLATFORM FIT: Salesforce Agentforce Sales Agent + Einstein
- Pre-built AI capabilities
- Trained on Siemens catalog and history
- No custom AI development required
CONCLUSION: Genuine AI use case with OOB platform agents. Use Salesforce Agentforce Sales + Einstein Recommendation Builder.</t>
        </is>
      </c>
      <c r="G13" s="146" t="inlineStr">
        <is>
          <t>OOB: Salesforce Einstein Recommendation Builder | CONFIG: Train model on Siemens product catalog, purchase history, installed base | AGENTFORCE: Sales Agent delivers recommendations to reps</t>
        </is>
      </c>
      <c r="H13" s="146" t="inlineStr">
        <is>
          <t>Salesforce Einstein + Agentforce Sales Agent (OOB). Configure recommendation model.</t>
        </is>
      </c>
      <c r="I13" s="146" t="inlineStr">
        <is>
          <t>Corporate account profile and purchase history; Installed base data (from SAP); Product catalog (10,000+ SKUs); Agentforce Sales Agent context</t>
        </is>
      </c>
      <c r="J13" s="153" t="inlineStr">
        <is>
          <t>Triggered when quote initiated. Salesforce Einstein Recommendation Builder analyzes corporate account industry, size, purchase history, installed base. Agentforce Sales Agent delivers ranked product recommendations to sales rep. Considers margin optimization and inventory availability.</t>
        </is>
      </c>
      <c r="K13" s="146" t="inlineStr">
        <is>
          <t>Recommended products ranked by fit score; Bundle suggestions; Alternative options; Recommendation rationale for sales rep</t>
        </is>
      </c>
      <c r="L13" s="146" t="inlineStr">
        <is>
          <t>Recommendation acceptance rate; Upsell success rate; Quote value increase %; Sales rep time saved on product selection</t>
        </is>
      </c>
      <c r="M13" s="154" t="inlineStr">
        <is>
          <t>Salesforce Agentforce (Employee Agent) recommends the most suitable products and optimal discounts by analyzing customer needs and past sales.</t>
        </is>
      </c>
      <c r="N13" s="121" t="inlineStr">
        <is>
          <t>Low</t>
        </is>
      </c>
      <c r="O13" s="121" t="inlineStr">
        <is>
          <t>Limited direct revenue impact. Primarily operational efficiency. Consider bundling with related agents to increase value proposition.</t>
        </is>
      </c>
      <c r="P13" s="121" t="inlineStr">
        <is>
          <t>High</t>
        </is>
      </c>
      <c r="Q13" s="121" t="inlineStr">
        <is>
          <t>Quote and pricing processes are standardized across Siemens divisions. CPQ rules and approval workflows apply to DI, SI, and MO sales teams.</t>
        </is>
      </c>
      <c r="R13" s="121" t="inlineStr">
        <is>
          <t>Medium</t>
        </is>
      </c>
      <c r="S13" s="121" t="inlineStr">
        <is>
          <t>2 system integrations required. Systems: Agentforce Sales Agent. Standard connectors and APIs available.</t>
        </is>
      </c>
      <c r="T13" s="121" t="inlineStr">
        <is>
          <t>High</t>
        </is>
      </c>
      <c r="U13" s="121" t="inlineStr">
        <is>
          <t>Standard CRM data. ACP Level 2 sufficient for implementation.</t>
        </is>
      </c>
      <c r="V13" s="121" t="inlineStr">
        <is>
          <t>Low</t>
        </is>
      </c>
      <c r="W13" s="149" t="inlineStr">
        <is>
          <t>FUTURE INITIATIVE ONLY: Product recommendations relate to Quoting Agent. Checked: AF (12), DI (10), SI (9) - NONE provide ML-based product recommendations today. Quoting Agent STATUS: 'In discussion, not until May' (AF Tab Row 8). DI #4 Quoting Agent is same initiative - predefined logic, not ML recommendations. RECOMMENDATION: Proceed - no current conflict, design for future Quoting Agent integration.</t>
        </is>
      </c>
      <c r="X13" s="149" t="inlineStr">
        <is>
          <t>Medium</t>
        </is>
      </c>
      <c r="Y13" s="149" t="inlineStr">
        <is>
          <t>Addresses [Information Overload &amp; Decision Paralysis] pain point. 'Sales reps overwhelmed by 10,000+ SKU product catalog...'. Moderate user impact.</t>
        </is>
      </c>
      <c r="Z13" s="149" t="inlineStr">
        <is>
          <t>Low</t>
        </is>
      </c>
      <c r="AA13" s="149" t="inlineStr">
        <is>
          <t>Limited direct revenue impact. Primarily operational efficiency. Consider bundling with related agents to increase value proposition.</t>
        </is>
      </c>
      <c r="AB13" s="149" t="inlineStr">
        <is>
          <t>Medium</t>
        </is>
      </c>
      <c r="AC13" s="149" t="inlineStr">
        <is>
          <t xml:space="preserve">Standard timeline: 3-6 months. 2 system integrations. Key systems: Agentforce Sales Agent. </t>
        </is>
      </c>
    </row>
    <row r="14" ht="72.75" customHeight="1" s="113">
      <c r="A14" s="145" t="inlineStr">
        <is>
          <t>Quote Configuration Agent</t>
        </is>
      </c>
      <c r="B14" s="145" t="inlineStr">
        <is>
          <t>Pricing Optimization Sub-Agent</t>
        </is>
      </c>
      <c r="C14" s="146" t="inlineStr">
        <is>
          <t>Calculates optimal pricing for each corporate account based on: negotiated contract rates, volume commitment tiers, customer segment (strategic/key/standard), competitive bid situations, and target margin thresholds. Recommends discount percentages that maximize win probability while protecting margins.</t>
        </is>
      </c>
      <c r="D14" s="153" t="inlineStr">
        <is>
          <t>[Manual, Time-Intensive Processes] Pricing calculations done manually in spreadsheets: 2-4 hours per complex quote. Discount approvals via email chains. No systematic margin analysis. Inconsistent pricing across channels - same account gets different prices from different reps.</t>
        </is>
      </c>
      <c r="E14" s="122" t="inlineStr">
        <is>
          <t>Qualifies - Salesforce Agentforce Quoting</t>
        </is>
      </c>
      <c r="F14" s="122" t="inlineStr">
        <is>
          <t>RATIONALE:
TECHNOLOGY: OOB: Agentforce Quoting Agent (Siemens planned May 2025) + Salesforce Revenue Cloud
AI QUALIFICATION: YES
- Agentforce Quoting Agent is Salesforce's AI-powered pricing optimization
- Learns from historical win/loss data to optimize pricing
- Considers competitive dynamics, customer segment, margin targets
- AI-driven discount recommendations
SIEMENS CRITERIA ASSESSMENT:
- Business Value: HIGH (saves 2-4 hours per complex quote)
- Cross-business Applicability: HIGH (all divisions quote products)
- Technical Complexity: LOW (OOB Agentforce + Revenue Cloud)
- ACP Compliance: Level 1 (OOB Salesforce platform)
- Alignment with Initiatives: HIGH (CPQ modernization, AI adoption)
- User Impact: HIGH (eliminates spreadsheet pricing)
PLATFORM FIT: Salesforce Agentforce Quoting Agent
- AI-native pricing optimization
- Integrates with Revenue Cloud pricing rules
- Siemens already planning May 2025 rollout
CONCLUSION: Genuine AI use case. Agentforce Quoting Agent provides AI-powered pricing optimization OOB.</t>
        </is>
      </c>
      <c r="G14" s="146" t="inlineStr">
        <is>
          <t>OOB: Agentforce Quoting Agent (Siemens planned May 2025), Salesforce Revenue Cloud | CONFIG: Define pricing rules, margin thresholds, discount approval limits per segment/region</t>
        </is>
      </c>
      <c r="H14" s="146" t="inlineStr">
        <is>
          <t>Agentforce Quoting Agent + Revenue Cloud (OOB). Configure pricing rules.</t>
        </is>
      </c>
      <c r="I14" s="146" t="inlineStr">
        <is>
          <t>Product selections; Pricing rules and matrices (Revenue Cloud); Contract rates; Volume tiers; Competitive bid data; Margin thresholds</t>
        </is>
      </c>
      <c r="J14" s="153" t="inlineStr">
        <is>
          <t>Triggered after product selection. Agentforce Quoting Agent with Salesforce Revenue Cloud calculates optimal pricing. Considers negotiated contract rates, volume commitment tiers, customer segment (strategic/key/standard), target margins. Suggests discount levels, validates against approval thresholds.</t>
        </is>
      </c>
      <c r="K14" s="146" t="inlineStr">
        <is>
          <t>Optimized pricing per line item; Discount recommendations with rationale; Margin analysis; Approval requirements triggered; Competitive positioning guidance</t>
        </is>
      </c>
      <c r="L14" s="153" t="inlineStr">
        <is>
          <t>Win rate by pricing tier; Margin realization vs. target; Discount variance from policy; Pricing calculation time (minutes saved)</t>
        </is>
      </c>
      <c r="M14" s="154" t="inlineStr">
        <is>
          <t>Salesforce Agentforce (Employee Agent) recommends the most suitable products and optimal discounts by analyzing customer needs and past sales.</t>
        </is>
      </c>
      <c r="N14" s="121" t="inlineStr">
        <is>
          <t>High</t>
        </is>
      </c>
      <c r="O14" s="121" t="inlineStr">
        <is>
          <t>Strong business impact based on operational efficiency gains. Addresses [Manual, Time-Intensive Processes] pain point with measurable ROI.</t>
        </is>
      </c>
      <c r="P14" s="121" t="inlineStr">
        <is>
          <t>High</t>
        </is>
      </c>
      <c r="Q14" s="121" t="inlineStr">
        <is>
          <t>Quote and pricing processes are standardized across Siemens divisions. CPQ rules and approval workflows apply to DI, SI, and MO sales teams.</t>
        </is>
      </c>
      <c r="R14" s="121" t="inlineStr">
        <is>
          <t>Medium</t>
        </is>
      </c>
      <c r="S14" s="121" t="inlineStr">
        <is>
          <t>2 system integrations required. Systems: Agentforce Quoting Agent. Standard connectors and APIs available.</t>
        </is>
      </c>
      <c r="T14" s="121" t="inlineStr">
        <is>
          <t>Low</t>
        </is>
      </c>
      <c r="U14" s="121" t="inlineStr">
        <is>
          <t>⚠️ POTENTIAL BLOCKER: May require ACP Level 3 due to sensitive data access.</t>
        </is>
      </c>
      <c r="V14" s="121" t="inlineStr">
        <is>
          <t>Low</t>
        </is>
      </c>
      <c r="W14" s="149" t="inlineStr">
        <is>
          <t>FUTURE INITIATIVE ONLY: Pricing relates to Quoting Agent. Checked: AF Row 8 (DISCUSSION), DI #4 (predefined) - same initiative, not built. No live pricing optimization exists. RECOMMENDATION: Proceed. Design for future CPQ integration.</t>
        </is>
      </c>
      <c r="X14" s="149" t="inlineStr">
        <is>
          <t>High</t>
        </is>
      </c>
      <c r="Y14" s="149" t="inlineStr">
        <is>
          <t>Addresses critical pain: [Manual, Time-Intensive Processes]. Specific issue: 'Pricing calculations done manually in spreadsheets: 2-4 hours per complex quote...'. Quantified impact in source data.</t>
        </is>
      </c>
      <c r="Z14" s="149" t="inlineStr">
        <is>
          <t>High</t>
        </is>
      </c>
      <c r="AA14" s="149" t="inlineStr">
        <is>
          <t>Strong business impact based on operational efficiency gains. Addresses [Manual, Time-Intensive Processes] pain point with measurable ROI.</t>
        </is>
      </c>
      <c r="AB14" s="149" t="inlineStr">
        <is>
          <t>Low</t>
        </is>
      </c>
      <c r="AC14" s="149" t="inlineStr">
        <is>
          <t>Quick win: ≤3 months. Primarily OOB configuration. Systems: Agentforce Quoting Agent. Minimal dependencies.</t>
        </is>
      </c>
    </row>
    <row r="15" ht="87" customHeight="1" s="113">
      <c r="A15" s="145" t="inlineStr">
        <is>
          <t>Quote Configuration Agent</t>
        </is>
      </c>
      <c r="B15" s="145" t="inlineStr">
        <is>
          <t>Technical Feasibility Sub-Agent</t>
        </is>
      </c>
      <c r="C15" s="146" t="inlineStr">
        <is>
          <t>Validates that selected product combinations are technically compatible for the customer's installation environment. Example: Checks that a 480V motor controller is compatible with customer's 480V power supply, not mismatched with 230V equipment.</t>
        </is>
      </c>
      <c r="D15" s="146" t="inlineStr">
        <is>
          <t>[Inconsistent &amp; Low-Quality Customer Interactions] Incompatible product configurations quoted to corporate accounts: 480V equipment for 230V facility, wrong software versions, missing required accessories. Inconsistent technical validation leads to order cancellations and engineering rework.</t>
        </is>
      </c>
      <c r="E15" s="122" t="inlineStr">
        <is>
          <t>Does not qualify as AI Agent</t>
        </is>
      </c>
      <c r="F15" s="122" t="inlineStr">
        <is>
          <t>RATIONALE:
TECHNOLOGY: OOB: Salesforce CPQ Configuration Rules Engine + Custom Apex
AI QUALIFICATION: NO
- Compatibility checking is deterministic (480V ≠ 230V)
- Rules are explicit engineering constraints, not learned patterns
- Software version matching follows fixed compatibility matrices
- No prediction, learning, or NLP involved
SIEMENS CRITERIA ASSESSMENT:
- Business Value: HIGH (prevents incompatible configurations)
- Cross-business Applicability: HIGH (all product divisions)
- Technical Complexity: MEDIUM (CPQ rules + some custom Apex)
- ACP Compliance: Level 2 (OOB CPQ + custom Apex)
- Alignment with Initiatives: MEDIUM (CPQ implementation)
- User Impact: HIGH (reduces engineering rework)
CONCLUSION: Critical functionality but purely rule-based. CPQ Configuration Rules Engine executes deterministic constraints. No AI required - just well-defined engineering compatibility rules.</t>
        </is>
      </c>
      <c r="G15" s="146" t="inlineStr">
        <is>
          <t>OOB: Salesforce CPQ Configuration Rules Engine | CONFIG: Define compatibility rules (voltage, software versions, required accessories) | CUSTOM: Complex technical validation may need Apex for edge cases</t>
        </is>
      </c>
      <c r="H15" s="146" t="inlineStr">
        <is>
          <t>Salesforce CPQ (OOB). CUSTOM Apex for complex compatibility logic.</t>
        </is>
      </c>
      <c r="I15" s="146" t="inlineStr">
        <is>
          <t>Product configurations; Technical compatibility rules (voltage, software versions); Engineering constraints from PLM; Corporate account installation environment data</t>
        </is>
      </c>
      <c r="J15" s="146" t="inlineStr">
        <is>
          <t>Triggered during configuration. Salesforce CPQ Configuration Rules Engine validates technical compatibility. Checks voltage compatibility (480V vs 230V), software version requirements, required accessories. Custom Apex handles complex edge cases. Flags engineering review for custom configurations.</t>
        </is>
      </c>
      <c r="K15" s="146" t="inlineStr">
        <is>
          <t>Feasibility assessment (Pass/Fail/Review); Compatibility warnings with specifics; Engineering escalation flags; Alternative valid configurations</t>
        </is>
      </c>
      <c r="L15" s="146" t="inlineStr">
        <is>
          <t>Configuration error rate reduction; Engineering escalation rate; First-time-right quotes %; Order cancellation reduction</t>
        </is>
      </c>
      <c r="M15" s="147" t="n"/>
      <c r="N15" s="121" t="inlineStr">
        <is>
          <t>Low</t>
        </is>
      </c>
      <c r="O15" s="121" t="inlineStr">
        <is>
          <t>Limited direct revenue impact. Primarily operational efficiency. Consider bundling with related agents to increase value proposition.</t>
        </is>
      </c>
      <c r="P15" s="121" t="inlineStr">
        <is>
          <t>High</t>
        </is>
      </c>
      <c r="Q15" s="121" t="inlineStr">
        <is>
          <t>Quote and pricing processes are standardized across Siemens divisions. CPQ rules and approval workflows apply to DI, SI, and MO sales teams.</t>
        </is>
      </c>
      <c r="R15" s="121" t="inlineStr">
        <is>
          <t>Low</t>
        </is>
      </c>
      <c r="S15" s="121" t="inlineStr">
        <is>
          <t>Straightforward implementation. Primarily OOB configuration. Systems: Salesforce CPQ . Standard setup with minimal custom development.</t>
        </is>
      </c>
      <c r="T15" s="121" t="inlineStr">
        <is>
          <t>High</t>
        </is>
      </c>
      <c r="U15" s="121" t="inlineStr">
        <is>
          <t>Standard CRM data. ACP Level 2 sufficient for implementation.</t>
        </is>
      </c>
      <c r="V15" s="121" t="inlineStr">
        <is>
          <t>Low</t>
        </is>
      </c>
      <c r="W15" s="149" t="inlineStr">
        <is>
          <t>STATUS VALIDATED - NO COMPETING INITIATIVE: Technical feasibility. Checked: AF (12), DI (10), SI (9), SAP AI (16) - none address engineering validation. EXPANSION RISK: If Quoting Agent expands to product validation, coordinate. RECOMMENDATION: Proceed - fills current gap.</t>
        </is>
      </c>
      <c r="X15" s="149" t="inlineStr">
        <is>
          <t>Medium</t>
        </is>
      </c>
      <c r="Y15" s="149" t="inlineStr">
        <is>
          <t>Addresses [Inconsistent &amp; Low-Quality Customer Interactions] pain point. 'Incompatible product configurations quoted to corporate accounts: 480V equipment for 230V facility, ...'. Moderate user impact.</t>
        </is>
      </c>
      <c r="Z15" s="149" t="inlineStr">
        <is>
          <t>Low</t>
        </is>
      </c>
      <c r="AA15" s="149" t="inlineStr">
        <is>
          <t>Limited direct revenue impact. Primarily operational efficiency. Consider bundling with related agents to increase value proposition.</t>
        </is>
      </c>
      <c r="AB15" s="149" t="inlineStr">
        <is>
          <t>Medium</t>
        </is>
      </c>
      <c r="AC15" s="149" t="inlineStr">
        <is>
          <t>Standard timeline: 3-6 months. 1 system integration. Key systems: Salesforce CPQ . Some custom development included.</t>
        </is>
      </c>
    </row>
    <row r="16" ht="72.75" customHeight="1" s="113">
      <c r="A16" s="145" t="inlineStr">
        <is>
          <t>Quote Configuration Agent</t>
        </is>
      </c>
      <c r="B16" s="145" t="inlineStr">
        <is>
          <t>Upsell/Cross-sell Opportunity Sub-Agent</t>
        </is>
      </c>
      <c r="C16" s="146" t="inlineStr">
        <is>
          <t>Identifies additional products to propose based on the corporate account's installed base and current quote. Example: Account has 10 SIMATIC S7-1500 PLCs installed; suggest compatible I/O modules, programming software licenses, and service contracts they haven't purchased.</t>
        </is>
      </c>
      <c r="D16" s="146" t="inlineStr">
        <is>
          <t>[Missed Business Opportunities] Sales reps don't know corporate account's installed base. Miss upsell opportunities: account has 50 PLCs but hasn't been offered compatible HMI panels or service contracts. Estimated 15-20% revenue left on table per account.</t>
        </is>
      </c>
      <c r="E16" s="122" t="inlineStr">
        <is>
          <t>Qualifies - Salesforce Agentforce Sales</t>
        </is>
      </c>
      <c r="F16" s="122" t="inlineStr">
        <is>
          <t>RATIONALE:
TECHNOLOGY: OOB: Salesforce Einstein Next Best Action + Agentforce Sales Agent | CUSTOM: MuleSoft for SAP data
AI QUALIFICATION: YES
- Einstein Next Best Action (NBA) uses ML to identify upsell patterns
- Analyzes installed base, purchase history, product affinities
- Agentforce Sales Agent surfaces AI-driven recommendations
- Learns from sales success/failure patterns
SIEMENS CRITERIA ASSESSMENT:
- Business Value: HIGH (captures 15-20% revenue left on table)
- Cross-business Applicability: HIGH (all divisions have installed base)
- Technical Complexity: MEDIUM (OOB AI + MuleSoft integration)
- ACP Compliance: Level 2 (OOB + MuleSoft integration)
- Alignment with Initiatives: HIGH (cross-sell initiative, AI adoption)
- User Impact: HIGH (proactive opportunity surfacing)
PLATFORM FIT: Salesforce Agentforce Sales + Einstein NBA
- AI-powered opportunity identification
- MuleSoft provides SAP installed base data
- Agentforce delivers recommendations conversationally
CONCLUSION: Strong AI use case. Einstein NBA provides ML-based pattern recognition. MuleSoft integration is non-AI data plumbing.</t>
        </is>
      </c>
      <c r="G16" s="146" t="inlineStr">
        <is>
          <t>OOB: Salesforce Einstein Next Best Action | CONFIG: Define upsell rules based on installed base | AGENTFORCE: Sales Agent surfaces recommendations | CUSTOM: MuleSoft integration for SAP installed base data</t>
        </is>
      </c>
      <c r="H16" s="146" t="inlineStr">
        <is>
          <t>Einstein + Agentforce Sales Agent (OOB). MuleSoft for SAP data (CUSTOM).</t>
        </is>
      </c>
      <c r="I16" s="146" t="inlineStr">
        <is>
          <t>Current quote line items; Corporate account installed base (via MuleSoft from SAP); Product affinity rules; Service contract history</t>
        </is>
      </c>
      <c r="J16" s="146" t="inlineStr">
        <is>
          <t>Triggered during quote building. Salesforce Einstein Next Best Action identifies upsell/cross-sell opportunities based on installed base (e.g., account has S7-1500 PLCs → suggest compatible HMI panels). Agentforce Sales Agent surfaces recommendations proactively. Scores by likelihood and value.</t>
        </is>
      </c>
      <c r="K16" s="146" t="inlineStr">
        <is>
          <t>Ranked upsell opportunities with revenue potential; Cross-sell suggestions based on installed base; Success probability scores; Value messaging for sales rep</t>
        </is>
      </c>
      <c r="L16" s="146" t="inlineStr">
        <is>
          <t>Attach rate improvement; Average deal size increase %; Revenue captured vs. left on table; Installed base coverage</t>
        </is>
      </c>
      <c r="M16" s="147" t="n"/>
      <c r="N16" s="121" t="inlineStr">
        <is>
          <t>High</t>
        </is>
      </c>
      <c r="O16" s="121" t="inlineStr">
        <is>
          <t>Strong business impact based on operational efficiency gains. Addresses [Missed Business Opportunities] pain point with measurable ROI.</t>
        </is>
      </c>
      <c r="P16" s="121" t="inlineStr">
        <is>
          <t>High</t>
        </is>
      </c>
      <c r="Q16" s="121" t="inlineStr">
        <is>
          <t>Quote and pricing processes are standardized across Siemens divisions. CPQ rules and approval workflows apply to DI, SI, and MO sales teams.</t>
        </is>
      </c>
      <c r="R16" s="121" t="inlineStr">
        <is>
          <t>Medium</t>
        </is>
      </c>
      <c r="S16" s="121" t="inlineStr">
        <is>
          <t>2 system integrations required. Systems: MuleSoft, Agentforce Sales Agent. Some custom development needed. Standard connectors and APIs available.</t>
        </is>
      </c>
      <c r="T16" s="121" t="inlineStr">
        <is>
          <t>High</t>
        </is>
      </c>
      <c r="U16" s="121" t="inlineStr">
        <is>
          <t>Standard CRM data. ACP Level 2 sufficient for implementation.</t>
        </is>
      </c>
      <c r="V16" s="121" t="inlineStr">
        <is>
          <t>Low</t>
        </is>
      </c>
      <c r="W16" s="149" t="inlineStr">
        <is>
          <t>STATUS VALIDATED - UNIQUE TODAY: Upsell/cross-sell recommendations. Checked: AF (12) - SieSales Employee Agent summarizes, doesn't recommend. Checked: DI #1 (Account Planning) - summaries, not recommendations. EXPANSION RISK: Customer 360 could add 'next best action'. MONITOR roadmap. RECOMMENDATION: Proceed, architect for Customer 360 integration.</t>
        </is>
      </c>
      <c r="X16" s="149" t="inlineStr">
        <is>
          <t>High</t>
        </is>
      </c>
      <c r="Y16" s="149" t="inlineStr">
        <is>
          <t>Addresses critical pain: [Missed Business Opportunities]. Specific issue: 'Sales reps don't know corporate account's installed base...'. Quantified impact in source data.</t>
        </is>
      </c>
      <c r="Z16" s="149" t="inlineStr">
        <is>
          <t>High</t>
        </is>
      </c>
      <c r="AA16" s="149" t="inlineStr">
        <is>
          <t>Strong business impact based on operational efficiency gains. Addresses [Missed Business Opportunities] pain point with measurable ROI.</t>
        </is>
      </c>
      <c r="AB16" s="149" t="inlineStr">
        <is>
          <t>High</t>
        </is>
      </c>
      <c r="AC16" s="149" t="inlineStr">
        <is>
          <t>Extended timeline: &gt;6 months. Complex factors: SAP integration, custom development. Plan for phased rollout.</t>
        </is>
      </c>
    </row>
    <row r="17" ht="72.75" customHeight="1" s="113">
      <c r="A17" s="145" t="inlineStr">
        <is>
          <t>Quote Configuration Agent</t>
        </is>
      </c>
      <c r="B17" s="145" t="inlineStr">
        <is>
          <t>Quote Validation Sub-Agent</t>
        </is>
      </c>
      <c r="C17" s="146" t="inlineStr">
        <is>
          <t>Performs pre-submission checks on quotes: all required fields populated, pricing within policy limits, discount approvals obtained, product configurations valid, delivery dates feasible. Blocks submission if critical errors exist; warns on non-critical issues.</t>
        </is>
      </c>
      <c r="D17" s="146" t="inlineStr">
        <is>
          <t>[Manual, Time-Intensive Processes] Quote validation manual and inconsistent. Errors discovered at approval stage: missing PO reference, pricing outside policy, incomplete addresses. Each error cycles quote back, adding 2-5 days. Rework consumes sales capacity.</t>
        </is>
      </c>
      <c r="E17" s="122" t="inlineStr">
        <is>
          <t>Does not qualify as AI Agent</t>
        </is>
      </c>
      <c r="F17" s="122" t="inlineStr">
        <is>
          <t>RATIONALE:
TECHNOLOGY: OOB: Salesforce CPQ Validation Rules + Flow Approval Routing
AI QUALIFICATION: NO
- Quote validation is deterministic rule checking:
  - Required fields present/missing = boolean check
  - Pricing within policy limits = numeric comparison
  - Discount approvals = threshold rules
  - Product configurations valid = constraint satisfaction
- Approval routing follows configured matrix, not learned patterns
- No ML model, no prediction, no learning from outcomes
PREVIOUS OVERCLAIM CORRECTED:
- "Agentforce Quoting Agent" was cited, but core functionality is CPQ rules
- "AI-assisted validation beyond simple rule checking" was unsupported
- Conversational interface for navigation ≠ AI decision-making
SIEMENS CRITERIA ASSESSMENT:
- Business Value: HIGH (error prevention)
- Cross-business Applicability: HIGH (all quotes)
- Technical Complexity: LOW (OOB CPQ)
- ACP Compliance: Level 1 (OOB)
- Alignment with Initiatives: HIGH
- User Impact: HIGH
CONCLUSION: This is workflow automation with validation rules, not an AI agent. The "intelligence" is configured business rules, not machine learning.</t>
        </is>
      </c>
      <c r="G17" s="146" t="inlineStr">
        <is>
          <t>OOB: Agentforce Quoting Agent, Salesforce CPQ Validation Rules | CONFIG: Define required fields, pricing policy limits, discount thresholds that trigger validation errors/warnings</t>
        </is>
      </c>
      <c r="H17" s="146" t="inlineStr">
        <is>
          <t>Agentforce Quoting Agent + CPQ (OOB). Configure validation rules.</t>
        </is>
      </c>
      <c r="I17" s="146" t="inlineStr">
        <is>
          <t>Complete quote data; CPQ validation rules; Approval policies; Required fields by quote type</t>
        </is>
      </c>
      <c r="J17" s="146" t="inlineStr">
        <is>
          <t>Triggered before quote submission. Agentforce Quoting Agent with Salesforce CPQ performs comprehensive validation: pricing within policy, discounts within limits, required fields populated (PO reference, ship-to), configurations valid. Determines approval routing. Blocks submission on critical errors; warns on non-critical.</t>
        </is>
      </c>
      <c r="K17" s="146" t="inlineStr">
        <is>
          <t>Validation results (Pass/Fail/Warning); Error list with specific fields; Approval routing decision; Risk flags</t>
        </is>
      </c>
      <c r="L17" s="146" t="inlineStr">
        <is>
          <t>Quote error rate reduction; Rework cycles eliminated; Time to validate; Approval rejection rate reduction</t>
        </is>
      </c>
      <c r="M17" s="147" t="n"/>
      <c r="N17" s="121" t="inlineStr">
        <is>
          <t>Low</t>
        </is>
      </c>
      <c r="O17" s="121" t="inlineStr">
        <is>
          <t>Limited direct revenue impact. Primarily operational efficiency. Consider bundling with related agents to increase value proposition.</t>
        </is>
      </c>
      <c r="P17" s="121" t="inlineStr">
        <is>
          <t>High</t>
        </is>
      </c>
      <c r="Q17" s="121" t="inlineStr">
        <is>
          <t>Quote and pricing processes are standardized across Siemens divisions. CPQ rules and approval workflows apply to DI, SI, and MO sales teams.</t>
        </is>
      </c>
      <c r="R17" s="121" t="inlineStr">
        <is>
          <t>Medium</t>
        </is>
      </c>
      <c r="S17" s="121" t="inlineStr">
        <is>
          <t>2 system integrations required. Systems: Agentforce Quoting Agent. Standard connectors and APIs available.</t>
        </is>
      </c>
      <c r="T17" s="121" t="inlineStr">
        <is>
          <t>High</t>
        </is>
      </c>
      <c r="U17" s="121" t="inlineStr">
        <is>
          <t>Standard CRM data. ACP Level 2 sufficient for implementation.</t>
        </is>
      </c>
      <c r="V17" s="121" t="inlineStr">
        <is>
          <t>Low</t>
        </is>
      </c>
      <c r="W17" s="149" t="inlineStr">
        <is>
          <t>FUTURE INITIATIVE ONLY: Quote validation relates to Quoting Agent. Checked: AF Row 8 (DISCUSSION), DI #4 (predefined) - not built yet. RECOMMENDATION: Proceed - capability valuable for future CPQ.</t>
        </is>
      </c>
      <c r="X17" s="149" t="inlineStr">
        <is>
          <t>High</t>
        </is>
      </c>
      <c r="Y17" s="149" t="inlineStr">
        <is>
          <t>Addresses critical pain: [Manual, Time-Intensive Processes]. Specific issue: 'Quote validation manual and inconsistent...'. Quantified impact in source data.</t>
        </is>
      </c>
      <c r="Z17" s="149" t="inlineStr">
        <is>
          <t>Low</t>
        </is>
      </c>
      <c r="AA17" s="149" t="inlineStr">
        <is>
          <t>Limited direct revenue impact. Primarily operational efficiency. Consider bundling with related agents to increase value proposition.</t>
        </is>
      </c>
      <c r="AB17" s="149" t="inlineStr">
        <is>
          <t>Low</t>
        </is>
      </c>
      <c r="AC17" s="149" t="inlineStr">
        <is>
          <t>Quick win: ≤3 months. Primarily OOB configuration. Systems: Agentforce Quoting Agent. Minimal dependencies.</t>
        </is>
      </c>
    </row>
    <row r="18" ht="72.75" customFormat="1" customHeight="1" s="73">
      <c r="A18" s="150" t="inlineStr">
        <is>
          <t>Quote Configuration Agent</t>
        </is>
      </c>
      <c r="B18" s="150" t="inlineStr">
        <is>
          <t>Configuration Rules Engine Sub-Agent</t>
        </is>
      </c>
      <c r="C18" s="151" t="inlineStr">
        <is>
          <t>Executes product configuration rules when sales reps build quotes. Enforces dependencies (Motor X requires Starter Y), exclusions (Product A incompatible with Product B), and quantity constraints (minimum order 10 units). Manages 10,000+ rules across product families.</t>
        </is>
      </c>
      <c r="D18" s="153" t="inlineStr">
        <is>
          <t>[Information Overload &amp; Decision Paralysis] 10,000+ product configuration rules managed manually. Sales reps navigate complex BOM dependencies without guidance. Configuration errors on 15% of complex quotes. Decision paralysis when faced with interdependent product choices.</t>
        </is>
      </c>
      <c r="E18" s="122" t="inlineStr">
        <is>
          <t>Does not qualify as AI Agent</t>
        </is>
      </c>
      <c r="F18" s="122" t="inlineStr">
        <is>
          <t>RATIONALE:
TECHNOLOGY: OOB: Salesforce CPQ Advanced Product Rules + Custom Apex
AI QUALIFICATION: NO
- 10,000+ rules are explicit constraints, not learned patterns
- Dependencies (Motor X requires Starter Y) are engineering facts
- Exclusions and quantity constraints are deterministic
- Rule execution is algorithmic constraint satisfaction
- Even "complex" Apex is still deterministic logic
SIEMENS CRITERIA ASSESSMENT:
- Business Value: HIGH (prevents 15% configuration error rate)
- Cross-business Applicability: HIGH (all product divisions)
- Technical Complexity: HIGH (10,000+ rules, complex constraints)
- ACP Compliance: Level 2 (OOB CPQ + custom Apex)
- Alignment with Initiatives: HIGH (product configuration accuracy)
- User Impact: HIGH (guided configuration reduces errors)
CONCLUSION: High complexity but NOT AI. Rule quantity doesn't create AI need. CPQ Advanced handles complex constraint logic. Custom Apex for edge cases is still deterministic. Valuable functionality but correctly labeled as "Rules Engine" not "Agent".</t>
        </is>
      </c>
      <c r="G18" s="151" t="inlineStr">
        <is>
          <t>OOB: Salesforce CPQ Advanced Product Rules (supports 10,000+ rules) | CONFIG: Define dependencies, exclusions, quantity constraints per product family | CUSTOM: Apex for complex constraint logic</t>
        </is>
      </c>
      <c r="H18" s="151" t="inlineStr">
        <is>
          <t>Salesforce CPQ Advanced (OOB). CUSTOM Apex for complex constraints.</t>
        </is>
      </c>
      <c r="I18" s="151" t="inlineStr">
        <is>
          <t>Product catalog (10,000+ SKUs); Configuration rules repository (dependencies, exclusions, quantities); Product compatibility matrices; Historical valid configurations</t>
        </is>
      </c>
      <c r="J18" s="152" t="inlineStr">
        <is>
          <t>Triggered when products added to quote. Salesforce CPQ Advanced loads applicable rules by product family. Executes constraint-based logic: validates compatibility, enforces dependencies (Motor X requires Starter Y), calculates BOM. Custom Apex handles complex industrial equipment constraints. Caches frequent rule sets for performance.</t>
        </is>
      </c>
      <c r="K18" s="151" t="inlineStr">
        <is>
          <t>Validated product configuration; Assembled BOM with quantities; Conflict resolution suggestions; Configuration completeness score; Rule execution trace</t>
        </is>
      </c>
      <c r="L18" s="151" t="inlineStr">
        <is>
          <t>Configuration error rate reduction; Quote generation time for complex deals; First-time-right rate; Engineering rework hours saved</t>
        </is>
      </c>
      <c r="M18" s="121" t="n"/>
      <c r="N18" s="121" t="inlineStr">
        <is>
          <t>Low</t>
        </is>
      </c>
      <c r="O18" s="121" t="inlineStr">
        <is>
          <t>Limited direct revenue impact. Primarily operational efficiency. Consider bundling with related agents to increase value proposition.</t>
        </is>
      </c>
      <c r="P18" s="121" t="inlineStr">
        <is>
          <t>High</t>
        </is>
      </c>
      <c r="Q18" s="121" t="inlineStr">
        <is>
          <t>Quote and pricing processes are standardized across Siemens divisions. CPQ rules and approval workflows apply to DI, SI, and MO sales teams.</t>
        </is>
      </c>
      <c r="R18" s="121" t="inlineStr">
        <is>
          <t>Low</t>
        </is>
      </c>
      <c r="S18" s="121" t="inlineStr">
        <is>
          <t>Straightforward implementation. Primarily OOB configuration. Systems: Salesforce CPQ . Standard setup with minimal custom development.</t>
        </is>
      </c>
      <c r="T18" s="121" t="inlineStr">
        <is>
          <t>High</t>
        </is>
      </c>
      <c r="U18" s="121" t="inlineStr">
        <is>
          <t>Standard CRM data. ACP Level 2 sufficient for implementation.</t>
        </is>
      </c>
      <c r="V18" s="121" t="inlineStr">
        <is>
          <t>Low</t>
        </is>
      </c>
      <c r="W18" s="148" t="inlineStr">
        <is>
          <t>FUTURE INITIATIVE ONLY: Configuration rules relate to Quoting Agent. Checked: AF Row 8 (DISCUSSION), DI #4 (predefined) - not built yet. RECOMMENDATION: Proceed. Design rules to be portable to future CPQ.</t>
        </is>
      </c>
      <c r="X18" s="148" t="inlineStr">
        <is>
          <t>High</t>
        </is>
      </c>
      <c r="Y18" s="148" t="inlineStr">
        <is>
          <t>Addresses critical pain: [Information Overload &amp; Decision Paralysis]. Specific issue: '10,000+ product configuration rules managed manually...'. Quantified impact in source data.</t>
        </is>
      </c>
      <c r="Z18" s="148" t="inlineStr">
        <is>
          <t>Low</t>
        </is>
      </c>
      <c r="AA18" s="148" t="inlineStr">
        <is>
          <t>Limited direct revenue impact. Primarily operational efficiency. Consider bundling with related agents to increase value proposition.</t>
        </is>
      </c>
      <c r="AB18" s="148" t="inlineStr">
        <is>
          <t>Medium</t>
        </is>
      </c>
      <c r="AC18" s="148" t="inlineStr">
        <is>
          <t>Standard timeline: 3-6 months. 1 system integration. Key systems: Salesforce CPQ . Some custom development included.</t>
        </is>
      </c>
    </row>
    <row r="19" ht="72.75" customHeight="1" s="113">
      <c r="A19" s="145" t="inlineStr">
        <is>
          <t>Credit Decision Agent</t>
        </is>
      </c>
      <c r="B19" s="145" t="inlineStr">
        <is>
          <t>Credit Data Aggregation Sub-Agent</t>
        </is>
      </c>
      <c r="C19" s="146" t="inlineStr">
        <is>
          <t>Retrieves commercial credit data for corporate accounts from: D&amp;B credit reports, Experian business credit, internal AR aging (how this account pays Siemens), and trade references (how they pay other suppliers). Consolidates into single credit package.</t>
        </is>
      </c>
      <c r="D19" s="146" t="inlineStr">
        <is>
          <t>[Manual, Time-Intensive Processes] Credit analyst manually gathers data from 5+ sources: D&amp;B portal, Experian, internal AR, trade references. 3-4 hours per corporate account. No automation. Credit decisions delayed 2-3 days while analyst hunts for information.</t>
        </is>
      </c>
      <c r="E19" s="122" t="inlineStr">
        <is>
          <t>Does not qualify as AI Agent</t>
        </is>
      </c>
      <c r="F19" s="122" t="inlineStr">
        <is>
          <t>RATIONALE:
TECHNOLOGY: CUSTOM: MuleSoft orchestration + custom aggregation logic
AI QUALIFICATION: NO
- Multi-source API orchestration is integration work
- Parallel API calls to D&amp;B, Experian, SAP AR are deterministic
- Data consolidation follows fixed transformation rules
- Error handling is programmatic, not intelligent
- No learning, prediction, or NLP involved
SIEMENS CRITERIA ASSESSMENT:
- Business Value: HIGH (saves 3-4 hours per credit check)
- Cross-business Applicability: HIGH (all divisions need credit data)
- Technical Complexity: MEDIUM (multi-API orchestration)
- ACP Compliance: Level 2 (custom MuleSoft integration)
- Alignment with Initiatives: HIGH (integration platform)
- User Impact: HIGH (2-3 day delay eliminated)
CONCLUSION: Valuable integration but NOT an AI agent. MuleSoft orchestration calling multiple APIs is standard ETL/integration work. Rename to "Credit Data Aggregation Service" or similar.</t>
        </is>
      </c>
      <c r="G19" s="146" t="inlineStr">
        <is>
          <t>CUSTOM: Multi-source credit aggregation agent. No OOB product consolidates D&amp;B + Experian + SAP AR + trade references. Build with MuleSoft orchestration + custom aggregation logic.</t>
        </is>
      </c>
      <c r="H19" s="146" t="inlineStr">
        <is>
          <t>CUSTOM. MuleSoft + custom aggregation logic.</t>
        </is>
      </c>
      <c r="I19" s="122" t="inlineStr">
        <is>
          <t>D&amp;B API; Experian API; SAP S/4HANA FI-AR (internal AR aging, payment history); Trade reference database; Corporate hierarchy data</t>
        </is>
      </c>
      <c r="J19" s="122" t="inlineStr">
        <is>
          <t>Triggered on credit check request. Custom MuleSoft orchestration calls multiple sources in parallel: D&amp;B credit report, Experian business credit, SAP AR aging (how this account pays Siemens), trade references. Consolidates into single credit package. Handles API timeouts/errors gracefully.</t>
        </is>
      </c>
      <c r="K19" s="122" t="inlineStr">
        <is>
          <t>Consolidated credit package; Bureau scores (D&amp;B, Experian); Internal payment history summary; Trade reference results; Data completeness indicator</t>
        </is>
      </c>
      <c r="L19" s="122" t="inlineStr">
        <is>
          <t>Data retrieval time (target: &lt;30 seconds vs. 3-4 hours manual); API success rate; Data completeness score; Credit analyst time saved</t>
        </is>
      </c>
      <c r="M19" s="147" t="n"/>
      <c r="N19" s="121" t="inlineStr">
        <is>
          <t>Low</t>
        </is>
      </c>
      <c r="O19" s="121" t="inlineStr">
        <is>
          <t>Limited direct revenue impact. Primarily operational efficiency. Consider bundling with related agents to increase value proposition.</t>
        </is>
      </c>
      <c r="P19" s="121" t="inlineStr">
        <is>
          <t>Medium</t>
        </is>
      </c>
      <c r="Q19" s="121" t="inlineStr">
        <is>
          <t>Primarily serves specific use case but adaptable. Credit assessment applies to all B2B customers regardless of division. Risk scoring and payment terms are enterprise-wide policies.</t>
        </is>
      </c>
      <c r="R19" s="121" t="inlineStr">
        <is>
          <t>Medium</t>
        </is>
      </c>
      <c r="S19" s="121" t="inlineStr">
        <is>
          <t>2 system integrations required. Systems: MuleSoft. Some custom development needed. Standard connectors and APIs available.</t>
        </is>
      </c>
      <c r="T19" s="121" t="inlineStr">
        <is>
          <t>Low</t>
        </is>
      </c>
      <c r="U19" s="121" t="inlineStr">
        <is>
          <t>⚠️ POTENTIAL BLOCKER: Accesses external credit bureau APIs (D&amp;B, Experian) and SAP FI-AR payment history. This is ACTUAL financial data requiring ACP Level 3 review. Verify data classification with Siemens Data Governance.</t>
        </is>
      </c>
      <c r="V19" s="121" t="inlineStr">
        <is>
          <t>Low</t>
        </is>
      </c>
      <c r="W19" s="149" t="inlineStr">
        <is>
          <t>STATUS VALIDATED - NO COMPETING INITIATIVE: Credit data aggregation. Checked: AF Tab (12 initiatives) - none address credit. Checked: DI Use Cases (10) - none address credit/finance (#1-10 are sales/service focused). Checked: SAP AI (16) - A1 processes AR, doesn't aggregate for credit decisions. Checked: SI Projects (9) - none address credit. RECOMMENDATION: Proceed - unique finance capability.</t>
        </is>
      </c>
      <c r="X19" s="149" t="inlineStr">
        <is>
          <t>High</t>
        </is>
      </c>
      <c r="Y19" s="149" t="inlineStr">
        <is>
          <t>Addresses critical pain: [Manual, Time-Intensive Processes]. Specific issue: 'Credit analyst manually gathers data from 5+ sources: D&amp;B portal, Experian, internal AR, trade references...'. Quantified impact in source data.</t>
        </is>
      </c>
      <c r="Z19" s="149" t="inlineStr">
        <is>
          <t>Low</t>
        </is>
      </c>
      <c r="AA19" s="149" t="inlineStr">
        <is>
          <t>Limited direct revenue impact. Primarily operational efficiency. Consider bundling with related agents to increase value proposition.</t>
        </is>
      </c>
      <c r="AB19" s="149" t="inlineStr">
        <is>
          <t>High</t>
        </is>
      </c>
      <c r="AC19" s="149" t="inlineStr">
        <is>
          <t>Extended timeline: &gt;6 months. Complex factors: custom development. Plan for phased rollout.</t>
        </is>
      </c>
    </row>
    <row r="20" ht="72.75" customHeight="1" s="113">
      <c r="A20" s="147" t="inlineStr">
        <is>
          <t>Credit Decision Agent</t>
        </is>
      </c>
      <c r="B20" s="147" t="inlineStr">
        <is>
          <t>Risk Scoring Sub-Agent</t>
        </is>
      </c>
      <c r="C20" s="122" t="inlineStr">
        <is>
          <t>Calculates a credit risk score (0-1000) for corporate accounts using: external credit bureau scores, financial statement ratios (current ratio, debt/equity), payment history with Siemens (DSO, late payment frequency), and industry risk factors. Higher score = lower risk.</t>
        </is>
      </c>
      <c r="D20" s="122" t="inlineStr">
        <is>
          <t>[Inconsistent &amp; Low-Quality Customer Interactions] Credit risk assessment varies by region and analyst. Same corporate account rated 'low risk' in Germany, 'medium risk' in USA. No standardized model. Inconsistent decisions damage customer relationships and revenue.</t>
        </is>
      </c>
      <c r="E20" s="122" t="inlineStr">
        <is>
          <t>Qualifies - Custom AI Agent</t>
        </is>
      </c>
      <c r="F20" s="122" t="inlineStr">
        <is>
          <t>RATIONALE:
TECHNOLOGY: CUSTOM: ML credit scoring model (Salesforce Einstein ML or SAP Analytics Cloud)
AI QUALIFICATION: YES - Custom AI Agent (ACP Level 3)
ML MODEL SPECIFICATION:
- Model Type: Gradient Boosted Decision Trees (XGBoost/LightGBM) or Neural Network
- Training Data: 5+ years of Siemens AR transaction history, 10,000+ corporate accounts
- Key Features:
  * External credit bureau scores (D&amp;B, Experian)
  * Financial ratios (current ratio, debt/equity, interest coverage)
  * Payment history metrics (DSO, late payment frequency, dispute rate)
  * Industry risk factors (sector volatility, economic indicators)
  * Corporate hierarchy exposure (parent/subsidiary aggregation)
- Target Variable: Probability of default within 12 months
- Validation Metrics: AUC-ROC &gt;0.80, Precision &gt;0.75 at 20% recall
- Model Refresh: Monthly retraining with rolling 5-year window
- Inference: Real-time scoring via API (&lt;100ms latency)
WHY ML IS REQUIRED:
- D&amp;B/Experian scores don't reflect Siemens-specific payment behavior
- Complex non-linear interactions between features (industry + size + payment history)
- Need to predict future default, not just describe current state
- Siemens-specific risk factors not captured in generic bureau models
SIEMENS CRITERIA ASSESSMENT:
- Business Value: HIGH (reduced bad debt, consistent risk assessment)
- Cross-business Applicability: HIGH (all B2B credit decisions)
- Technical Complexity: HIGH (custom ML pipeline)
- ACP Compliance: Level 3 (Custom AI)
- Alignment with Initiatives: HIGH (AI-first strategy)
- User Impact: HIGH (credit analysts, sales)
CONCLUSION: Qualifies as Custom AI Agent - ML model trained on Siemens-specific data to predict default probability, going beyond deterministic rule-based scoring.</t>
        </is>
      </c>
      <c r="G20" s="122" t="inlineStr">
        <is>
          <t>CUSTOM: ML credit scoring model
- Platform: Salesforce Einstein ML or SAP Analytics Cloud
- Algorithm: XGBoost/LightGBM ensemble or Neural Network
- Training: Siemens AR history (5+ years, 10K+ accounts)
- Features: Bureau scores, financial ratios, payment patterns, industry risk
- Inference: Real-time API (&lt;100ms)
- Refresh: Monthly retraining
| INTEGRATION: MuleSoft for feature aggregation from D&amp;B, Experian, SAP FI-AR</t>
        </is>
      </c>
      <c r="H20" s="122" t="inlineStr">
        <is>
          <t>CUSTOM. Train ML model on Siemens AR data.</t>
        </is>
      </c>
      <c r="I20" s="122" t="inlineStr">
        <is>
          <t>Aggregated credit data from Sub-Agent 16; SAP AR historical defaults; Financial statement ratios; Industry risk factors; Corporate hierarchy exposure</t>
        </is>
      </c>
      <c r="J20" s="122" t="inlineStr">
        <is>
          <t>Triggered after data aggregation. Custom ML model (Salesforce Einstein ML or SAP Analytics Cloud) calculates risk score. Trained on Siemens-specific default history. Inputs: bureau scores, payment patterns, financial ratios (current ratio, debt/equity), industry risk. Outputs probability of default.</t>
        </is>
      </c>
      <c r="K20" s="122" t="inlineStr">
        <is>
          <t>Risk score (0-1000, higher = lower risk); Risk category (A-E); Default probability %; Contributing risk factors ranked; Confidence level</t>
        </is>
      </c>
      <c r="L20" s="122" t="inlineStr">
        <is>
          <t>Model accuracy vs. actual defaults (AUC &gt;0.8 target); Score stability over time; Bad debt reduction %; Credit decision consistency across regions</t>
        </is>
      </c>
      <c r="M20" s="147" t="n"/>
      <c r="N20" s="121" t="inlineStr">
        <is>
          <t>Low</t>
        </is>
      </c>
      <c r="O20" s="121" t="inlineStr">
        <is>
          <t>Limited direct revenue impact. Primarily operational efficiency. Consider bundling with related agents to increase value proposition.</t>
        </is>
      </c>
      <c r="P20" s="121" t="inlineStr">
        <is>
          <t>Medium</t>
        </is>
      </c>
      <c r="Q20" s="121" t="inlineStr">
        <is>
          <t>Primarily serves specific use case but adaptable. Credit assessment applies to all B2B customers regardless of division. Risk scoring and payment terms are enterprise-wide policies.</t>
        </is>
      </c>
      <c r="R20" s="121" t="inlineStr">
        <is>
          <t>High</t>
        </is>
      </c>
      <c r="S20" s="121" t="inlineStr">
        <is>
          <t>Complex implementation: 1 systems (multiple platforms). Custom ML model development and training required. Estimated significant technical effort.</t>
        </is>
      </c>
      <c r="T20" s="121" t="inlineStr">
        <is>
          <t>Low</t>
        </is>
      </c>
      <c r="U20" s="121" t="inlineStr">
        <is>
          <t>⚠️ POTENTIAL BLOCKER: May require ACP Level 3 due to sensitive data access.</t>
        </is>
      </c>
      <c r="V20" s="121" t="inlineStr">
        <is>
          <t>Low</t>
        </is>
      </c>
      <c r="W20" s="149" t="inlineStr">
        <is>
          <t>STATUS VALIDATED - NO COMPETING INITIATIVE: Risk scoring for credit. Checked: AF (12), DI (10), SI (9), SAP AI (16) - none address credit risk scoring. RECOMMENDATION: Proceed - unique capability.</t>
        </is>
      </c>
      <c r="X20" s="149" t="inlineStr">
        <is>
          <t>Low</t>
        </is>
      </c>
      <c r="Y20" s="149" t="inlineStr">
        <is>
          <t>Pain point documented but limited scope: [Inconsistent &amp; Low-Quality Customer Interactions]. May affect smaller user population.</t>
        </is>
      </c>
      <c r="Z20" s="149" t="inlineStr">
        <is>
          <t>Low</t>
        </is>
      </c>
      <c r="AA20" s="149" t="inlineStr">
        <is>
          <t>Limited direct revenue impact. Primarily operational efficiency. Consider bundling with related agents to increase value proposition.</t>
        </is>
      </c>
      <c r="AB20" s="149" t="inlineStr">
        <is>
          <t>High</t>
        </is>
      </c>
      <c r="AC20" s="149" t="inlineStr">
        <is>
          <t>Extended timeline: &gt;6 months. Complex factors: custom development, ML model training. Plan for phased rollout.</t>
        </is>
      </c>
    </row>
    <row r="21" ht="72.75" customHeight="1" s="113">
      <c r="A21" s="147" t="inlineStr">
        <is>
          <t>Credit Decision Agent</t>
        </is>
      </c>
      <c r="B21" s="147" t="inlineStr">
        <is>
          <t>Credit Limit Calculation Sub-Agent</t>
        </is>
      </c>
      <c r="C21" s="122" t="inlineStr">
        <is>
          <t>Determines how much credit to extend to a corporate account based on: risk score, requested order value, existing outstanding receivables, customer's annual revenue, and Siemens exposure policy (e.g., max 5% of customer's annual revenue).</t>
        </is>
      </c>
      <c r="D21" s="122" t="inlineStr">
        <is>
          <t>[Inconsistent &amp; Low-Quality Customer Interactions] Credit limits set arbitrarily without risk-based methodology. Over-exposure to high-risk accounts causes bad debt. Under-serving low-risk strategic accounts loses business to competitors. Inconsistent treatment across similar accounts.</t>
        </is>
      </c>
      <c r="E21" s="122" t="inlineStr">
        <is>
          <t>Does not qualify as AI Agent</t>
        </is>
      </c>
      <c r="F21" s="122" t="inlineStr">
        <is>
          <t>RATIONALE:
TECHNOLOGY: OOB: SAP Credit Management (S/4HANA module)
AI QUALIFICATION: NO
- Limit calculation uses configured formulas
- Risk score × revenue × exposure policy = deterministic math
- No learning or prediction - just formula application
- SAP Credit Management is rule-based calculation engine
SIEMENS CRITERIA ASSESSMENT:
- Business Value: HIGH (risk-based limits vs. arbitrary)
- Cross-business Applicability: HIGH (all credit decisions)
- Technical Complexity: LOW (OOB with configuration)
- ACP Compliance: Level 1 (OOB SAP module)
- Alignment with Initiatives: HIGH (S/4HANA deployment)
- User Impact: HIGH (consistent limit methodology)
CONCLUSION: OOB SAP Credit Management functionality. Formula-based calculation is NOT AI. Valuable but correctly labeled as "Calculation" not "Agent".</t>
        </is>
      </c>
      <c r="G21" s="122" t="inlineStr">
        <is>
          <t>OOB: SAP Credit Management (S/4HANA module) - automatic limit calculation, exposure monitoring | CONFIG: Define limit formulas based on risk score, customer revenue, Siemens exposure policy</t>
        </is>
      </c>
      <c r="H21" s="122" t="inlineStr">
        <is>
          <t>SAP Credit Management (OOB). Configure limit formulas.</t>
        </is>
      </c>
      <c r="I21" s="122" t="inlineStr">
        <is>
          <t>Risk score from Sub-Agent 17; Corporate account financial data; Order value requested; Existing exposure; Siemens exposure policy rules</t>
        </is>
      </c>
      <c r="J21" s="122" t="inlineStr">
        <is>
          <t>Triggered after risk scoring. SAP Credit Management calculates recommended limit using configured formulas. Considers: risk score, customer annual revenue (max 5% exposure rule), existing outstanding receivables, requested order value. Optimizes for risk-adjusted return.</t>
        </is>
      </c>
      <c r="K21" s="122" t="inlineStr">
        <is>
          <t>Recommended credit limit (€); Limit justification; Required collateral/guarantees if high-risk; Monitoring thresholds; Comparison to requested amount</t>
        </is>
      </c>
      <c r="L21" s="122" t="inlineStr">
        <is>
          <t>Limit utilization rate; Credit losses as % of exposure; Revenue enabled by appropriate limits; Over/under-exposure incidents</t>
        </is>
      </c>
      <c r="M21" s="147" t="n"/>
      <c r="N21" s="121" t="inlineStr">
        <is>
          <t>High</t>
        </is>
      </c>
      <c r="O21" s="121" t="inlineStr">
        <is>
          <t>Strong business impact based on operational efficiency gains. Addresses [Inconsistent &amp; Low-Quality Customer Interactions] pain point with measurable ROI.</t>
        </is>
      </c>
      <c r="P21" s="121" t="inlineStr">
        <is>
          <t>Medium</t>
        </is>
      </c>
      <c r="Q21" s="121" t="inlineStr">
        <is>
          <t>Primarily serves specific use case but adaptable. Credit assessment applies to all B2B customers regardless of division. Risk scoring and payment terms are enterprise-wide policies.</t>
        </is>
      </c>
      <c r="R21" s="121" t="inlineStr">
        <is>
          <t>Medium</t>
        </is>
      </c>
      <c r="S21" s="121" t="inlineStr">
        <is>
          <t>1 system integration required. Systems: SAP C. Standard connectors and APIs available.</t>
        </is>
      </c>
      <c r="T21" s="121" t="inlineStr">
        <is>
          <t>Low</t>
        </is>
      </c>
      <c r="U21" s="121" t="inlineStr">
        <is>
          <t>⚠️ POTENTIAL BLOCKER: May require ACP Level 3 due to sensitive data access.</t>
        </is>
      </c>
      <c r="V21" s="121" t="inlineStr">
        <is>
          <t>Low</t>
        </is>
      </c>
      <c r="W21" s="149" t="inlineStr">
        <is>
          <t>STATUS VALIDATED - NO COMPETING INITIATIVE: Credit limit calculation. Checked: AF (12), DI (10), SI (9), SAP AI (16) - none address credit limits. RECOMMENDATION: Proceed - unique finance capability.</t>
        </is>
      </c>
      <c r="X21" s="149" t="inlineStr">
        <is>
          <t>Low</t>
        </is>
      </c>
      <c r="Y21" s="149" t="inlineStr">
        <is>
          <t>Pain point documented but limited scope: [Inconsistent &amp; Low-Quality Customer Interactions]. May affect smaller user population.</t>
        </is>
      </c>
      <c r="Z21" s="149" t="inlineStr">
        <is>
          <t>High</t>
        </is>
      </c>
      <c r="AA21" s="149" t="inlineStr">
        <is>
          <t>Strong business impact based on operational efficiency gains. Addresses [Inconsistent &amp; Low-Quality Customer Interactions] pain point with measurable ROI.</t>
        </is>
      </c>
      <c r="AB21" s="149" t="inlineStr">
        <is>
          <t>Medium</t>
        </is>
      </c>
      <c r="AC21" s="149" t="inlineStr">
        <is>
          <t xml:space="preserve">Standard timeline: 3-6 months. 1 system integration. Key systems: SAP C. </t>
        </is>
      </c>
    </row>
    <row r="22" ht="72.75" customHeight="1" s="113">
      <c r="A22" s="147" t="inlineStr">
        <is>
          <t>Credit Decision Agent</t>
        </is>
      </c>
      <c r="B22" s="147" t="inlineStr">
        <is>
          <t>Approval Routing Sub-Agent</t>
        </is>
      </c>
      <c r="C22" s="122" t="inlineStr">
        <is>
          <t>⚠️ DUPLICATE OF Row 32 (Approver Selection) - Both use SF Flow approval routing. RECOMMEND MERGE. | Routes credit decisions to the correct approver based on amount and risk: &lt;€50K auto-approved if score &gt;700; €50K-€500K requires regional credit manager; &gt;€500K requires corporate credit committee. Handles delegation when approvers are unavailable.</t>
        </is>
      </c>
      <c r="D22" s="122" t="inlineStr">
        <is>
          <t>[Manual, Time-Intensive Processes] Credit approvals stuck in manual queues. Approver on vacation - no delegation. Urgent €1M deal waits 5-10 days. No escalation automation. Manual tracking via email. Sales velocity killed by process bottlenecks.</t>
        </is>
      </c>
      <c r="E22" s="122" t="inlineStr">
        <is>
          <t>Does not qualify as AI Agent</t>
        </is>
      </c>
      <c r="F22" s="122" t="inlineStr">
        <is>
          <t>RATIONALE:
TECHNOLOGY: OOB: Salesforce Flow approval routing + org hierarchy lookup
AI QUALIFICATION: NO
- Routing logic is deterministic matrix:
  - &lt;€50K + score &gt;700 = auto-approve
  - €50K-€500K = regional credit manager
  - &gt;€500K = credit committee
- Delegation rules are configured policies, not learned
- Approver availability is calendar lookup
- SLA tracking is timer-based
PREVIOUS OVERCLAIM CORRECTED:
- "YES (PARTIAL)" was invalid - partial AI is not a category
- "Agentforce Employee Agent provides AI-assisted guidance" was vague
- If core routing is deterministic, adding chat doesn't make it AI
SIEMENS CRITERIA ASSESSMENT:
- Business Value: HIGH (faster approvals)
- Cross-business Applicability: HIGH (all credit decisions)
- Technical Complexity: LOW (OOB Flow)
- ACP Compliance: Level 1 (OOB)
- Alignment with Initiatives: HIGH
- User Impact: HIGH
CONCLUSION: This is workflow automation with configurable routing rules. The approver matrix is business logic, not machine learning.</t>
        </is>
      </c>
      <c r="G22" s="122" t="inlineStr">
        <is>
          <t>OOB: Salesforce Flow approval routing | CONFIG: Define routing matrix by amount/risk/region, delegation rules, escalation paths | AGENTFORCE: Employee Agent assists credit analysts</t>
        </is>
      </c>
      <c r="H22" s="122" t="inlineStr">
        <is>
          <t>Salesforce Flow + Agentforce Employee Agent (OOB). Configure routing matrix.</t>
        </is>
      </c>
      <c r="I22" s="122" t="inlineStr">
        <is>
          <t>Risk assessment results; Credit limit recommendation; Approval policy matrix (amount × risk); Approver hierarchy; Approver availability</t>
        </is>
      </c>
      <c r="J22" s="122" t="inlineStr">
        <is>
          <t>Triggered after limit calculation. Salesforce Flow routes based on policy: &lt;€50K auto-approved if score &gt;700; €50K-€500K to regional credit manager; &gt;€500K to credit committee. Agentforce Employee Agent assists credit analysts with context. Handles delegation when approvers unavailable. Sets SLAs.</t>
        </is>
      </c>
      <c r="K22" s="122" t="inlineStr">
        <is>
          <t>Approval workflow route; Required approvers with sequence; Justification package for approvers; SLA timers; Delegation assignments</t>
        </is>
      </c>
      <c r="L22" s="122" t="inlineStr">
        <is>
          <t>Auto-approval rate for low-risk; Approval cycle time (target: &lt;24h for standard); Escalation rate; Deals lost due to credit delays</t>
        </is>
      </c>
      <c r="M22" s="147" t="inlineStr">
        <is>
          <t>Slack Agent routes notifications and approval requests directly to Slack channels for quick action.</t>
        </is>
      </c>
      <c r="N22" s="121" t="inlineStr">
        <is>
          <t>Low</t>
        </is>
      </c>
      <c r="O22" s="121" t="inlineStr">
        <is>
          <t>Limited direct revenue impact. Primarily operational efficiency. Consider bundling with related agents to increase value proposition.</t>
        </is>
      </c>
      <c r="P22" s="121" t="inlineStr">
        <is>
          <t>Medium</t>
        </is>
      </c>
      <c r="Q22" s="121" t="inlineStr">
        <is>
          <t>Primarily serves specific use case but adaptable. Credit assessment applies to all B2B customers regardless of division. Risk scoring and payment terms are enterprise-wide policies.</t>
        </is>
      </c>
      <c r="R22" s="121" t="inlineStr">
        <is>
          <t>Medium</t>
        </is>
      </c>
      <c r="S22" s="121" t="inlineStr">
        <is>
          <t>2 system integrations required. Systems: Agentforce Employee Agent. Standard connectors and APIs available.</t>
        </is>
      </c>
      <c r="T22" s="121" t="inlineStr">
        <is>
          <t>Medium</t>
        </is>
      </c>
      <c r="U22" s="121" t="inlineStr">
        <is>
          <t>NEEDS REVIEW: Accesses credit limit recommendations and approval policy matrix. Uses financial context but may not access raw credit data. Verify if credit limit values require ACP Level 3.</t>
        </is>
      </c>
      <c r="V22" s="121" t="inlineStr">
        <is>
          <t>Low</t>
        </is>
      </c>
      <c r="W22" s="149" t="inlineStr">
        <is>
          <t>STATUS VALIDATED - NO COMPETING INITIATIVE: Credit approval routing. Checked: AF (12), DI (10), SI (9), SAP AI (16) - none address credit approval workflows. RECOMMENDATION: Proceed - unique workflow capability.</t>
        </is>
      </c>
      <c r="X22" s="149" t="inlineStr">
        <is>
          <t>High</t>
        </is>
      </c>
      <c r="Y22" s="149" t="inlineStr">
        <is>
          <t>Addresses critical pain: [Manual, Time-Intensive Processes]. Specific issue: 'Credit approvals stuck in manual queues...'. Quantified impact in source data.</t>
        </is>
      </c>
      <c r="Z22" s="149" t="inlineStr">
        <is>
          <t>Low</t>
        </is>
      </c>
      <c r="AA22" s="149" t="inlineStr">
        <is>
          <t>Limited direct revenue impact. Primarily operational efficiency. Consider bundling with related agents to increase value proposition.</t>
        </is>
      </c>
      <c r="AB22" s="149" t="inlineStr">
        <is>
          <t>Low</t>
        </is>
      </c>
      <c r="AC22" s="149" t="inlineStr">
        <is>
          <t>Quick win: ≤3 months. Primarily OOB configuration. Systems: Agentforce Employee Agent. Minimal dependencies.</t>
        </is>
      </c>
    </row>
    <row r="23" ht="72.75" customHeight="1" s="113">
      <c r="A23" s="147" t="inlineStr">
        <is>
          <t>Credit Decision Agent</t>
        </is>
      </c>
      <c r="B23" s="147" t="inlineStr">
        <is>
          <t>Credit Monitoring Sub-Agent</t>
        </is>
      </c>
      <c r="C23" s="122" t="inlineStr">
        <is>
          <t>Continuously monitors approved corporate accounts for credit deterioration: payment delays increasing, credit bureau score drops, news of financial distress, significant order pattern changes. Triggers alerts to credit team when thresholds breached.</t>
        </is>
      </c>
      <c r="D23" s="122" t="inlineStr">
        <is>
          <t>[Missed Business Opportunities] Credit deterioration discovered after losses occur. Corporate account bankruptcy - no early warning. Payment patterns worsened over 6 months - nobody noticed. Reactive write-offs instead of proactive intervention. Revenue leakage.</t>
        </is>
      </c>
      <c r="E23" s="122" t="inlineStr">
        <is>
          <t>Qualifies - Custom AI Agent</t>
        </is>
      </c>
      <c r="F23" s="122" t="inlineStr">
        <is>
          <t>RATIONALE:
TECHNOLOGY: OOB: SAP Credit Management monitoring + CUSTOM: ML early warning model
AI QUALIFICATION: YES - Custom AI Agent (ACP Level 3)
ML MODEL SPECIFICATION:
- Model Type: LSTM (Long Short-Term Memory) for time-series pattern detection
- Training Data: Historical deterioration → default sequences (3+ years)
- Key Features (time-series):
  * Payment timeliness trend (DSO rolling 30/60/90 days)
  * Credit utilization trajectory
  * Order pattern changes (volume, frequency, product mix)
  * Bureau score changes (delta over time)
  * Support ticket sentiment trends
- Target: Early warning signal 30-60 days before threshold breach
- Validation: Detection rate &gt;70% with &lt;15% false positive rate
- Threshold: Alert when predicted risk score increases &gt;20% in 30 days
- Inference: Batch scoring daily, real-time on significant events
WHY ML IS REQUIRED:
- SAP OOB monitoring is reactive (alerts AFTER threshold breach)
- ML model detects PATTERNS of deterioration before explicit triggers
- Learns from historical sequences: payment delays → disputes → defaults
- Captures non-linear combinations that humans miss
SIEMENS CRITERIA ASSESSMENT:
- Business Value: HIGH (early intervention reduces bad debt)
- Cross-business Applicability: HIGH (all credit accounts)
- Technical Complexity: HIGH (time-series ML)
- ACP Compliance: Level 3 (Custom AI)
- Alignment with Initiatives: HIGH (predictive analytics)
- User Impact: HIGH (credit risk team)
CONCLUSION: Qualifies as Custom AI Agent - LSTM model detects deterioration patterns 30-60 days before traditional threshold-based alerts.</t>
        </is>
      </c>
      <c r="G23" s="122" t="inlineStr">
        <is>
          <t>OOB: SAP Credit Management monitoring (threshold alerts, utilization tracking)
| CUSTOM: ML early warning model
- Platform: SAP Analytics Cloud or Salesforce Einstein
- Algorithm: LSTM (time-series) + Gradient Boosting ensemble
- Training: Historical deterioration sequences (3+ years)
- Features: Payment trends, utilization trajectory, bureau deltas
- Inference: Daily batch + real-time event triggers
- Lead Time: 30-60 days early warning
| INTEGRATION: SAP Credit Management API for threshold configuration</t>
        </is>
      </c>
      <c r="H23" s="122" t="inlineStr">
        <is>
          <t>SAP Credit Management (OOB). CUSTOM ML for predictive alerts.</t>
        </is>
      </c>
      <c r="I23" s="122" t="inlineStr">
        <is>
          <t>Approved credit limits; SAP AR transaction activity; Payment performance trends; Credit bureau alert feeds; Order pattern changes</t>
        </is>
      </c>
      <c r="J23" s="122" t="inlineStr">
        <is>
          <t>Continuously monitors via SAP Credit Management. Tracks: credit utilization, payment timeliness (DSO trend), bureau score changes. Custom ML model detects early warning patterns (payment delays increasing, order pattern changes). Triggers alerts for deteriorating accounts. Recommends limit adjustments or holds.</t>
        </is>
      </c>
      <c r="K23" s="122" t="inlineStr">
        <is>
          <t>Monitoring alerts with severity; Limit adjustment recommendations; Payment hold triggers; Early warning notifications; Portfolio risk dashboard</t>
        </is>
      </c>
      <c r="L23" s="122" t="inlineStr">
        <is>
          <t>Early warning accuracy (detect issues 30+ days before default); Limit breach incidents prevented; Bad debt reduction from proactive action</t>
        </is>
      </c>
      <c r="M23" s="147" t="n"/>
      <c r="N23" s="121" t="inlineStr">
        <is>
          <t>Low</t>
        </is>
      </c>
      <c r="O23" s="121" t="inlineStr">
        <is>
          <t>Limited direct revenue impact. Primarily operational efficiency. Consider bundling with related agents to increase value proposition.</t>
        </is>
      </c>
      <c r="P23" s="121" t="inlineStr">
        <is>
          <t>Medium</t>
        </is>
      </c>
      <c r="Q23" s="121" t="inlineStr">
        <is>
          <t>Primarily serves specific use case but adaptable. Credit assessment applies to all B2B customers regardless of division. Risk scoring and payment terms are enterprise-wide policies.</t>
        </is>
      </c>
      <c r="R23" s="121" t="inlineStr">
        <is>
          <t>High</t>
        </is>
      </c>
      <c r="S23" s="121" t="inlineStr">
        <is>
          <t>Complex implementation: 1 systems (SAP C). SAP integration requires middleware and data mapping. Custom ML model development and training required. Estimated significant technical effort.</t>
        </is>
      </c>
      <c r="T23" s="121" t="inlineStr">
        <is>
          <t>Low</t>
        </is>
      </c>
      <c r="U23" s="121" t="inlineStr">
        <is>
          <t>⚠️ POTENTIAL BLOCKER: Accesses SAP AR transaction activity, payment performance trends, and credit bureau alert feeds. Contains actual payment behavior data requiring ACP Level 3. Verify with Data Governance.</t>
        </is>
      </c>
      <c r="V23" s="121" t="inlineStr">
        <is>
          <t>Low</t>
        </is>
      </c>
      <c r="W23" s="149" t="inlineStr">
        <is>
          <t>STATUS VALIDATED - NO COMPETING INITIATIVE: Credit monitoring. Checked: AF (12), DI (10), SI (9), SAP AI (16) - none address ongoing credit monitoring. RECOMMENDATION: Proceed - unique monitoring capability.</t>
        </is>
      </c>
      <c r="X23" s="149" t="inlineStr">
        <is>
          <t>Medium</t>
        </is>
      </c>
      <c r="Y23" s="149" t="inlineStr">
        <is>
          <t>Addresses [Missed Business Opportunities] pain point. 'Credit deterioration discovered after losses occur...'. Moderate user impact.</t>
        </is>
      </c>
      <c r="Z23" s="149" t="inlineStr">
        <is>
          <t>Low</t>
        </is>
      </c>
      <c r="AA23" s="149" t="inlineStr">
        <is>
          <t>Limited direct revenue impact. Primarily operational efficiency. Consider bundling with related agents to increase value proposition.</t>
        </is>
      </c>
      <c r="AB23" s="149" t="inlineStr">
        <is>
          <t>High</t>
        </is>
      </c>
      <c r="AC23" s="149" t="inlineStr">
        <is>
          <t>Extended timeline: &gt;6 months. Complex factors: SAP integration, custom development, ML model training. Plan for phased rollout.</t>
        </is>
      </c>
    </row>
    <row r="24" ht="72.75" customFormat="1" customHeight="1" s="73">
      <c r="A24" s="155" t="inlineStr">
        <is>
          <t>Credit Decision Agent</t>
        </is>
      </c>
      <c r="B24" s="155" t="inlineStr">
        <is>
          <t>Payment History Analysis Sub-Agent [NEW]</t>
        </is>
      </c>
      <c r="C24" s="156" t="inlineStr">
        <is>
          <t>Analyzes how a corporate account actually pays Siemens invoices: average days to pay (DSO), frequency of late payments, dispute rates, partial payment patterns. Combines with external credit data for complete risk picture. Example: D&amp;B says 'low risk' but account pays Siemens 45 days late on average.</t>
        </is>
      </c>
      <c r="D24" s="156" t="inlineStr">
        <is>
          <t>[Data Fragmentation &amp; Siloed Information] Internal payment history (how corporate account pays Siemens) siloed in AR system. External credit scores don't reflect Siemens-specific behavior. Account pays D&amp;B-rated suppliers on time but pays Siemens 45+ days late - invisible.</t>
        </is>
      </c>
      <c r="E24" s="156" t="inlineStr">
        <is>
          <t>Qualifies - Custom AI Agent</t>
        </is>
      </c>
      <c r="F24" s="156" t="inlineStr">
        <is>
          <t>RATIONALE:
TECHNOLOGY: CUSTOM: ML model on SAP FI-AR payment history
AI QUALIFICATION: YES - Custom AI Agent (ACP Level 3)
ML MODEL SPECIFICATION:
- Model Type: Gradient Boosted Trees + Clustering (K-Means for behavior segmentation)
- Training Data: SAP FI-AR transaction history (3+ years, 100K+ invoices)
- Key Features:
  * Days Sales Outstanding (DSO) - mean, std, trend
  * Late payment frequency and severity (days late distribution)
  * Partial payment patterns (% paid on time, % paid late, % disputed)
  * Dispute rate and resolution time
  * Seasonality patterns (month-end, quarter-end behavior)
  * Payment method preferences (wire, check, ACH timing)
- Target: Payment behavior score (0-100) + behavior classification
- Behavior Classes: Prompt (pays &lt;5 days), Standard (5-30 days), Slow (30-60 days), Erratic (high variance)
- Trend Detection: Improving (+5% DSO improvement/quarter), Stable, Deteriorating
- Validation: Classification accuracy &gt;85%, DSO prediction MAE &lt;5 days
WHY ML IS REQUIRED:
- External credit scores don't reflect how customer pays SIEMENS specifically
- Pattern classification requires unsupervised learning (clustering)
- Trend detection from noisy AR data needs ML smoothing
- Combines multiple signals into single actionable score
SIEMENS CRITERIA ASSESSMENT:
- Business Value: HIGH (Siemens-specific credit insight)
- Cross-business Applicability: HIGH (all AR accounts)
- Technical Complexity: HIGH (custom ML on AR data)
- ACP Compliance: Level 3 (Custom AI)
- Alignment with Initiatives: HIGH (data-driven credit)
- User Impact: HIGH (credit analysts)
CONCLUSION: Qualifies as Custom AI Agent - ML model provides Siemens-specific payment behavior scoring that external bureaus cannot offer.</t>
        </is>
      </c>
      <c r="G24" s="156" t="inlineStr">
        <is>
          <t>CUSTOM: ML payment behavior analysis
- Platform: SAP Analytics Cloud or Python ML pipeline
- Algorithm: XGBoost for scoring + K-Means for behavior clustering
- Training: SAP FI-AR history (3+ years, 100K+ invoices)
- Features: DSO statistics, late payment distribution, dispute rates, seasonality
- Output: Behavior score (0-100), classification (Prompt/Standard/Slow/Erratic), trend
- Inference: Real-time on demand, batch refresh weekly
| DATA SOURCE: SAP S/4HANA FI-AR via MuleSoft extraction</t>
        </is>
      </c>
      <c r="H24" s="156" t="inlineStr">
        <is>
          <t>CUSTOM. ML model on SAP AR payment history.</t>
        </is>
      </c>
      <c r="I24" s="156" t="inlineStr">
        <is>
          <t>SAP S/4HANA FI-AR: AR aging reports, payment transactions, invoice history, dispute records, credit memos; Bank remittance data; Customer payment terms</t>
        </is>
      </c>
      <c r="J24" s="156" t="inlineStr">
        <is>
          <t>Triggered during credit assessment. Custom ML model queries SAP AR for payment history: average DSO, late payment frequency, partial payment patterns, dispute rates. Calculates internal payment behavior score (0-100). Identifies trends (improving/deteriorating). Score combined with external data for holistic risk view.</t>
        </is>
      </c>
      <c r="K24" s="156" t="inlineStr">
        <is>
          <t>Payment behavior score (0-100); Average DSO and trend direction; Late payment frequency and severity; Dispute rate; Pattern classification (prompt/slow/erratic); Trend alerts</t>
        </is>
      </c>
      <c r="L24" s="156" t="inlineStr">
        <is>
          <t>Prediction accuracy for payment delays; Bad debt reduction; DSO improvement for monitored accounts; Credit decision accuracy lift vs. external-only data</t>
        </is>
      </c>
      <c r="M24" s="121" t="n"/>
      <c r="N24" s="121" t="inlineStr">
        <is>
          <t>Low</t>
        </is>
      </c>
      <c r="O24" s="121" t="inlineStr">
        <is>
          <t>Limited direct revenue impact. Primarily operational efficiency. Consider bundling with related agents to increase value proposition.</t>
        </is>
      </c>
      <c r="P24" s="121" t="inlineStr">
        <is>
          <t>Medium</t>
        </is>
      </c>
      <c r="Q24" s="121" t="inlineStr">
        <is>
          <t>Primarily serves specific use case but adaptable. Credit assessment applies to all B2B customers regardless of division. Risk scoring and payment terms are enterprise-wide policies.</t>
        </is>
      </c>
      <c r="R24" s="121" t="inlineStr">
        <is>
          <t>High</t>
        </is>
      </c>
      <c r="S24" s="121" t="inlineStr">
        <is>
          <t>Complex implementation: 1 systems (SAP AR). SAP integration requires middleware and data mapping. Custom ML model development and training required. Estimated significant technical effort.</t>
        </is>
      </c>
      <c r="T24" s="121" t="inlineStr">
        <is>
          <t>Low</t>
        </is>
      </c>
      <c r="U24" s="121" t="inlineStr">
        <is>
          <t>⚠️ POTENTIAL BLOCKER: Directly accesses SAP S/4HANA FI-AR: AR aging reports, payment transactions, invoice history, dispute records. This is core financial data requiring ACP Level 3. Verify with Data Governance.</t>
        </is>
      </c>
      <c r="V24" s="121" t="inlineStr">
        <is>
          <t>Medium</t>
        </is>
      </c>
      <c r="W24" s="148" t="inlineStr">
        <is>
          <t>RELATED SAP SOLUTION: SAP Accounts Receivable Agent (A1) - AVAILABLE in SAP Joule catalog, NOT DEPLOYED at Siemens. (SOURCE: SAP Joule Feature List - external). SAP A1 function: Automates AR processing - invoicing, collections, payment matching within S/4HANA. SPECIFIC DIFFERENTIATOR: Payment History Analysis provides SALESFORCE-visible payment insights for sales reps (customer payment patterns, credit risk signals). A1 is finance-back-office focused. Checked: AF (12), DI (10), SI (9) - NONE provide CRM-integrated payment visibility.</t>
        </is>
      </c>
      <c r="X24" s="148" t="inlineStr">
        <is>
          <t>Medium</t>
        </is>
      </c>
      <c r="Y24" s="148" t="inlineStr">
        <is>
          <t>Addresses [Data Fragmentation &amp; Siloed Information] pain point. 'Internal payment history (how corporate account pays Siemens) siloed in AR system...'. Moderate user impact.</t>
        </is>
      </c>
      <c r="Z24" s="148" t="inlineStr">
        <is>
          <t>Low</t>
        </is>
      </c>
      <c r="AA24" s="148" t="inlineStr">
        <is>
          <t>Limited direct revenue impact. Primarily operational efficiency. Consider bundling with related agents to increase value proposition.</t>
        </is>
      </c>
      <c r="AB24" s="148" t="inlineStr">
        <is>
          <t>High</t>
        </is>
      </c>
      <c r="AC24" s="148" t="inlineStr">
        <is>
          <t>Extended timeline: &gt;6 months. Complex factors: SAP integration, custom development, ML model training. Plan for phased rollout.</t>
        </is>
      </c>
    </row>
    <row r="25" ht="72.75" customHeight="1" s="113">
      <c r="A25" s="147" t="inlineStr">
        <is>
          <t>Compliance Orchestration Agent</t>
        </is>
      </c>
      <c r="B25" s="147" t="inlineStr">
        <is>
          <t>Sanctions Screening Sub-Agent</t>
        </is>
      </c>
      <c r="C25" s="122" t="inlineStr">
        <is>
          <t>Screens corporate account names, addresses, and beneficial owners against sanctions lists (OFAC SDN, EU Consolidated, UN Security Council) before quote approval. Uses name matching algorithms to catch variations (e.g., 'Al-Qaeda' vs 'Al Qaeda' vs 'القاعدة').</t>
        </is>
      </c>
      <c r="D25" s="122" t="inlineStr">
        <is>
          <t>[Manual, Time-Intensive Processes] Manual sanctions screening: 30-60 minutes per corporate account. Compliance team processes 50+ daily. Copy-paste names into OFAC search. Human error risk on name variations. Team burnout from repetitive, time-intensive checking.</t>
        </is>
      </c>
      <c r="E25" s="122" t="inlineStr">
        <is>
          <t>Does not qualify as AI Agent</t>
        </is>
      </c>
      <c r="F25" s="122" t="inlineStr">
        <is>
          <t>RATIONALE:
TECHNOLOGY: OOB: SAP GTS Sanctioned Party List Screening
AI QUALIFICATION: NO
- Fuzzy name matching uses deterministic algorithms (Levenshtein distance, Soundex, phonetic matching)
- Alias detection is database lookup, not learned patterns
- List updates are regulatory feeds, not AI learning
- Match sensitivity is configured threshold, not adaptive
SIEMENS CRITERIA ASSESSMENT:
- Business Value: HIGH (saves 30-60 min per account, critical compliance)
- Cross-business Applicability: HIGH (all international transactions)
- Technical Complexity: LOW (OOB SAP GTS)
- ACP Compliance: Level 1 (OOB platform)
- Alignment with Initiatives: HIGH (compliance automation)
- User Impact: HIGH (reduces team burnout from repetitive checks)
CONCLUSION: Critical compliance function but SAP GTS is rules and matching algorithms, not AI. "Fuzzy matching" is algorithmic string similarity, not machine learning.</t>
        </is>
      </c>
      <c r="G25" s="122" t="inlineStr">
        <is>
          <t>OOB: SAP GTS Sanctioned Party List Screening - auto-updating OFAC/EU/UN lists, fuzzy name matching, alias detection | CONFIG: Set matching sensitivity thresholds</t>
        </is>
      </c>
      <c r="H25" s="122" t="inlineStr">
        <is>
          <t>SAP GTS (OOB). Configure matching sensitivity.</t>
        </is>
      </c>
      <c r="I25" s="122" t="inlineStr">
        <is>
          <t>Corporate account name and aliases; Registered addresses; Beneficial owners; OFAC SDN list; EU Consolidated list; UN Security Council list (auto-updated in SAP GTS)</t>
        </is>
      </c>
      <c r="J25" s="122" t="inlineStr">
        <is>
          <t>Triggered on corporate account creation and quote validation. SAP GTS Sanctioned Party List Screening checks against all major lists. Fuzzy name matching catches variations (Al-Qaeda vs Al Qaeda). Configurable match sensitivity. Screens beneficial owners for shell company risk.</t>
        </is>
      </c>
      <c r="K25" s="122" t="inlineStr">
        <is>
          <t>Screening result (Clear/Hit/Review); Match details with confidence score; Matched list and entry; Recommended action; Audit documentation</t>
        </is>
      </c>
      <c r="L25" s="122" t="inlineStr">
        <is>
          <t>Screening time (&lt;5 seconds target); False positive rate (&lt;2% target); Compliance team time saved (30-60 min per manual screen); Sanction violation prevention</t>
        </is>
      </c>
      <c r="M25" s="147" t="n"/>
      <c r="N25" s="121" t="inlineStr">
        <is>
          <t>Low</t>
        </is>
      </c>
      <c r="O25" s="121" t="inlineStr">
        <is>
          <t>Limited direct revenue impact. Primarily operational efficiency. Consider bundling with related agents to increase value proposition.</t>
        </is>
      </c>
      <c r="P25" s="121" t="inlineStr">
        <is>
          <t>Medium</t>
        </is>
      </c>
      <c r="Q25" s="121" t="inlineStr">
        <is>
          <t>Primarily serves specific use case but adaptable. Applicable across divisions with customization. Core functionality in "Compliance Orchestration Agent" serves common business processes.</t>
        </is>
      </c>
      <c r="R25" s="121" t="inlineStr">
        <is>
          <t>Medium</t>
        </is>
      </c>
      <c r="S25" s="121" t="inlineStr">
        <is>
          <t>1 system integration required. Systems: SAP GTS. Standard connectors and APIs available.</t>
        </is>
      </c>
      <c r="T25" s="121" t="inlineStr">
        <is>
          <t>High</t>
        </is>
      </c>
      <c r="U25" s="121" t="inlineStr">
        <is>
          <t>Standard CRM data. ACP Level 2 sufficient for implementation.</t>
        </is>
      </c>
      <c r="V25" s="121" t="inlineStr">
        <is>
          <t>Low</t>
        </is>
      </c>
      <c r="W25" s="149" t="inlineStr">
        <is>
          <t>STATUS VALIDATED - NO COMPETING INITIATIVE: Sanctions screening. Checked: AF (12), DI (10), SI (9), SAP AI (16) - NONE address trade compliance/sanctions. DI Use Cases are sales/service focused (#1-10), not compliance. RECOMMENDATION: Proceed - critical compliance gap.</t>
        </is>
      </c>
      <c r="X25" s="149" t="inlineStr">
        <is>
          <t>High</t>
        </is>
      </c>
      <c r="Y25" s="149" t="inlineStr">
        <is>
          <t>Addresses critical pain: [Manual, Time-Intensive Processes]. Specific issue: 'Manual sanctions screening: 30-60 minutes per corporate account...'. Quantified impact in source data.</t>
        </is>
      </c>
      <c r="Z25" s="149" t="inlineStr">
        <is>
          <t>Low</t>
        </is>
      </c>
      <c r="AA25" s="149" t="inlineStr">
        <is>
          <t>Limited direct revenue impact. Primarily operational efficiency. Consider bundling with related agents to increase value proposition.</t>
        </is>
      </c>
      <c r="AB25" s="149" t="inlineStr">
        <is>
          <t>Medium</t>
        </is>
      </c>
      <c r="AC25" s="149" t="inlineStr">
        <is>
          <t xml:space="preserve">Standard timeline: 3-6 months. 1 system integration. Key systems: SAP GTS. </t>
        </is>
      </c>
    </row>
    <row r="26" ht="72.75" customHeight="1" s="113">
      <c r="A26" s="147" t="inlineStr">
        <is>
          <t>Compliance Orchestration Agent</t>
        </is>
      </c>
      <c r="B26" s="147" t="inlineStr">
        <is>
          <t>Export Control Classification Sub-Agent</t>
        </is>
      </c>
      <c r="C26" s="122" t="inlineStr">
        <is>
          <t>Determines export classification codes (ECCN/EAR99) for products being quoted and checks if export license is required based on: product classification, destination country, end-user, and end-use. Example: SIMATIC controllers to Iran require BIS license.</t>
        </is>
      </c>
      <c r="D26" s="122" t="inlineStr">
        <is>
          <t>[Manual, Time-Intensive Processes] Export classification (ECCN) determined manually. Sales rep asks product management. 1-2 day turnaround. No systematic classification database. Quotes to controlled destinations delayed. Manual process doesn't scale.</t>
        </is>
      </c>
      <c r="E26" s="122" t="inlineStr">
        <is>
          <t>Does not qualify as AI Agent</t>
        </is>
      </c>
      <c r="F26" s="122" t="inlineStr">
        <is>
          <t>RATIONALE:
TECHNOLOGY: OOB: SAP GTS Export Control Classification
AI QUALIFICATION: NO
- ECCN determination is database lookup against product master
- License requirements are rule-based (product + destination + end-user matrix)
- Classification follows regulatory definitions, not learned patterns
- No prediction or NLP involved
SIEMENS CRITERIA ASSESSMENT:
- Business Value: HIGH (eliminates 1-2 day classification delays)
- Cross-business Applicability: HIGH (all export transactions)
- Technical Complexity: LOW (OOB with configuration)
- ACP Compliance: Level 1 (OOB SAP GTS)
- Alignment with Initiatives: HIGH (export compliance automation)
- User Impact: HIGH (scales classification systematically)
CONCLUSION: Essential export compliance but purely database-driven. ECCN master data + regulatory rules = deterministic classification.</t>
        </is>
      </c>
      <c r="G26" s="122" t="inlineStr">
        <is>
          <t>OOB: SAP GTS Export Control Classification - ECCN/EAR99 determination, license requirements, destination screening | CONFIG: Load Siemens product ECCN master data</t>
        </is>
      </c>
      <c r="H26" s="122" t="inlineStr">
        <is>
          <t>SAP GTS (OOB). Configure product classifications.</t>
        </is>
      </c>
      <c r="I26" s="122" t="inlineStr">
        <is>
          <t>Product details and technical specs; Siemens ECCN master data; Export control databases (CCL, EAR); Destination country; End-user type</t>
        </is>
      </c>
      <c r="J26" s="122" t="inlineStr">
        <is>
          <t>Triggered when products added to quote. SAP GTS Export Control Classification determines ECCN/EAR99. Checks license requirements based on product classification + destination + end-user. Flags controlled items requiring license. Auto-classifies known products from Siemens ECCN master.</t>
        </is>
      </c>
      <c r="K26" s="122" t="inlineStr">
        <is>
          <t>Product classification code (ECCN or EAR99); License requirement (Yes/No/Conditional); Destination restrictions; Required documentation; Classification confidence</t>
        </is>
      </c>
      <c r="L26" s="122" t="inlineStr">
        <is>
          <t>Classification accuracy (&gt;99% target); Licensing compliance rate; Classification time vs. manual (1-2 days); Export violation prevention</t>
        </is>
      </c>
      <c r="M26" s="147" t="n"/>
      <c r="N26" s="121" t="inlineStr">
        <is>
          <t>High</t>
        </is>
      </c>
      <c r="O26" s="121" t="inlineStr">
        <is>
          <t>Strong business impact with quantified targets: &gt;99%, 2 days. Addresses [Manual, Time-Intensive Processes] pain point with measurable ROI.</t>
        </is>
      </c>
      <c r="P26" s="121" t="inlineStr">
        <is>
          <t>Medium</t>
        </is>
      </c>
      <c r="Q26" s="121" t="inlineStr">
        <is>
          <t>Primarily serves specific use case but adaptable. Applicable across divisions with customization. Core functionality in "Compliance Orchestration Agent" serves common business processes.</t>
        </is>
      </c>
      <c r="R26" s="121" t="inlineStr">
        <is>
          <t>Medium</t>
        </is>
      </c>
      <c r="S26" s="121" t="inlineStr">
        <is>
          <t>1 system integration required. Systems: SAP GTS. Standard connectors and APIs available.</t>
        </is>
      </c>
      <c r="T26" s="121" t="inlineStr">
        <is>
          <t>High</t>
        </is>
      </c>
      <c r="U26" s="121" t="inlineStr">
        <is>
          <t>Standard CRM data. ACP Level 2 sufficient for implementation.</t>
        </is>
      </c>
      <c r="V26" s="121" t="inlineStr">
        <is>
          <t>Low</t>
        </is>
      </c>
      <c r="W26" s="149" t="inlineStr">
        <is>
          <t>STATUS VALIDATED - NO COMPETING INITIATIVE: Export control classification. Checked: AF (12), DI (10), SI (9), SAP AI (16) - none address export compliance. RECOMMENDATION: Proceed - unique compliance capability.</t>
        </is>
      </c>
      <c r="X26" s="149" t="inlineStr">
        <is>
          <t>Medium</t>
        </is>
      </c>
      <c r="Y26" s="149" t="inlineStr">
        <is>
          <t>Addresses [Manual, Time-Intensive Processes] pain point. 'Export classification (ECCN) determined manually...'. Moderate user impact.</t>
        </is>
      </c>
      <c r="Z26" s="149" t="inlineStr">
        <is>
          <t>High</t>
        </is>
      </c>
      <c r="AA26" s="149" t="inlineStr">
        <is>
          <t>Strong business impact with quantified targets: &gt;99%, 2 days. Addresses [Manual, Time-Intensive Processes] pain point with measurable ROI.</t>
        </is>
      </c>
      <c r="AB26" s="149" t="inlineStr">
        <is>
          <t>Medium</t>
        </is>
      </c>
      <c r="AC26" s="149" t="inlineStr">
        <is>
          <t xml:space="preserve">Standard timeline: 3-6 months. 1 system integration. Key systems: SAP GTS. </t>
        </is>
      </c>
    </row>
    <row r="27" ht="72.75" customHeight="1" s="113">
      <c r="A27" s="147" t="inlineStr">
        <is>
          <t>Compliance Orchestration Agent</t>
        </is>
      </c>
      <c r="B27" s="147" t="inlineStr">
        <is>
          <t>Denied Party Screening Sub-Agent</t>
        </is>
      </c>
      <c r="C27" s="122" t="inlineStr">
        <is>
          <t>Screens all parties in the transaction (buyer, ship-to, end-user, freight forwarder, intermediaries) against denied party lists (BIS Entity List, State Department debarred). Checks corporate ownership to detect shell companies hiding restricted entities.</t>
        </is>
      </c>
      <c r="D27" s="122" t="inlineStr">
        <is>
          <t>[Manual, Time-Intensive Processes] Denied party lists update weekly with 500+ changes. Manual screening cannot keep pace. Compliance team maintains spreadsheets. No automated monitoring. Time-intensive process creates bottleneck and risk.</t>
        </is>
      </c>
      <c r="E27" s="122" t="inlineStr">
        <is>
          <t>Does not qualify as AI Agent</t>
        </is>
      </c>
      <c r="F27" s="122" t="inlineStr">
        <is>
          <t>RATIONALE:
TECHNOLOGY: OOB: SAP GTS Denied Party Screening
AI QUALIFICATION: NO
- List matching against auto-updating regulatory lists
- Corporate ownership validation follows defined hierarchies
- Shell company detection uses ownership rules, not learned patterns
- All-party screening is systematic list checking
SIEMENS CRITERIA ASSESSMENT:
- Business Value: HIGH (keeps pace with 500+ weekly list changes)
- Cross-business Applicability: HIGH (all international transactions)
- Technical Complexity: LOW (OOB SAP GTS)
- ACP Compliance: Level 1 (OOB platform)
- Alignment with Initiatives: HIGH (compliance automation)
- User Impact: HIGH (eliminates spreadsheet maintenance)
CONCLUSION: SAP GTS provides OOB denied party screening. List matching and ownership traversal are deterministic, not AI.</t>
        </is>
      </c>
      <c r="G27" s="122" t="inlineStr">
        <is>
          <t>OOB: SAP GTS Denied Party Screening - auto-updating BIS Entity List, State Debarred lists, all-party screening | CONFIG: Define screening scope (buyer, ship-to, end-user, intermediaries)</t>
        </is>
      </c>
      <c r="H27" s="122" t="inlineStr">
        <is>
          <t>SAP GTS (OOB). Configure screening scope.</t>
        </is>
      </c>
      <c r="I27" s="122" t="inlineStr">
        <is>
          <t>All transaction parties: buyer, ship-to, end-user, intermediaries, freight forwarders; BIS Entity List; State Department debarred list; Corporate ownership data</t>
        </is>
      </c>
      <c r="J27" s="122" t="inlineStr">
        <is>
          <t>Triggered during quote validation. SAP GTS Denied Party Screening checks all parties against auto-updating denied party lists. Validates corporate ownership to detect shell companies hiding restricted entities. Screens any party in transaction chain.</t>
        </is>
      </c>
      <c r="K27" s="122" t="inlineStr">
        <is>
          <t>Party screening results per entity; Risk assessment; Beneficial owner analysis; Red flag alerts for ownership structures; Audit documentation</t>
        </is>
      </c>
      <c r="L27" s="122" t="inlineStr">
        <is>
          <t>Screening coverage (all parties checked); Hit accuracy; Entity List violation prevention; Investigation time for potential matches</t>
        </is>
      </c>
      <c r="M27" s="147" t="n"/>
      <c r="N27" s="121" t="inlineStr">
        <is>
          <t>Low</t>
        </is>
      </c>
      <c r="O27" s="121" t="inlineStr">
        <is>
          <t>Limited direct revenue impact. Primarily operational efficiency. Consider bundling with related agents to increase value proposition.</t>
        </is>
      </c>
      <c r="P27" s="121" t="inlineStr">
        <is>
          <t>Medium</t>
        </is>
      </c>
      <c r="Q27" s="121" t="inlineStr">
        <is>
          <t>Primarily serves specific use case but adaptable. Applicable across divisions with customization. Core functionality in "Compliance Orchestration Agent" serves common business processes.</t>
        </is>
      </c>
      <c r="R27" s="121" t="inlineStr">
        <is>
          <t>Medium</t>
        </is>
      </c>
      <c r="S27" s="121" t="inlineStr">
        <is>
          <t>1 system integration required. Systems: SAP GTS. Standard connectors and APIs available.</t>
        </is>
      </c>
      <c r="T27" s="121" t="inlineStr">
        <is>
          <t>High</t>
        </is>
      </c>
      <c r="U27" s="121" t="inlineStr">
        <is>
          <t>Standard CRM data. ACP Level 2 sufficient for implementation.</t>
        </is>
      </c>
      <c r="V27" s="121" t="inlineStr">
        <is>
          <t>Low</t>
        </is>
      </c>
      <c r="W27" s="149" t="inlineStr">
        <is>
          <t>STATUS VALIDATED - NO COMPETING INITIATIVE: Denied party screening. Checked: AF (12), DI (10), SI (9), SAP AI (16) - none address DPL screening. RECOMMENDATION: Proceed - critical compliance function.</t>
        </is>
      </c>
      <c r="X27" s="149" t="inlineStr">
        <is>
          <t>Medium</t>
        </is>
      </c>
      <c r="Y27" s="149" t="inlineStr">
        <is>
          <t>Addresses [Manual, Time-Intensive Processes] pain point. 'Denied party lists update weekly with 500+ changes...'. Moderate user impact.</t>
        </is>
      </c>
      <c r="Z27" s="149" t="inlineStr">
        <is>
          <t>Low</t>
        </is>
      </c>
      <c r="AA27" s="149" t="inlineStr">
        <is>
          <t>Limited direct revenue impact. Primarily operational efficiency. Consider bundling with related agents to increase value proposition.</t>
        </is>
      </c>
      <c r="AB27" s="149" t="inlineStr">
        <is>
          <t>Medium</t>
        </is>
      </c>
      <c r="AC27" s="149" t="inlineStr">
        <is>
          <t xml:space="preserve">Standard timeline: 3-6 months. 1 system integration. Key systems: SAP GTS. </t>
        </is>
      </c>
    </row>
    <row r="28" ht="72.75" customHeight="1" s="113">
      <c r="A28" s="147" t="inlineStr">
        <is>
          <t>Compliance Orchestration Agent</t>
        </is>
      </c>
      <c r="B28" s="147" t="inlineStr">
        <is>
          <t>End-Use Validation Sub-Agent</t>
        </is>
      </c>
      <c r="C28" s="122" t="inlineStr">
        <is>
          <t>Validates the stated end-use of products against restricted applications (nuclear, chemical weapons, missile technology). Flags suspicious patterns: Why does a textile company need high-precision CNC machines? Requires end-use certificates for controlled items.</t>
        </is>
      </c>
      <c r="D28" s="122" t="inlineStr">
        <is>
          <t>[Missed Business Opportunities] Cannot systematically validate corporate account's stated end-use. Suspicious patterns missed: textile company ordering precision CNC machines. No red flag detection. Missed diversion risks lead to regulatory exposure and penalties.</t>
        </is>
      </c>
      <c r="E28" s="122" t="inlineStr">
        <is>
          <t>Does not qualify as AI Agent</t>
        </is>
      </c>
      <c r="F28" s="122" t="inlineStr">
        <is>
          <t>RATIONALE:
TECHNOLOGY: OOB: SAP GTS End-Use Monitoring + CUSTOM: Red flag detection rules
AI QUALIFICATION: NO
- End-use validation against restricted categories is rule-based
- "Red flag detection rules" = explicit rules, not learned anomalies
- Example rule: "IF customer_industry = 'textile' AND product_category = 'CNC' THEN flag"
- Rules are authored by compliance experts, not learned from data
POTENTIAL AI ENHANCEMENT:
Could add ML anomaly detection to identify suspicious patterns not covered by explicit rules. This would require:
- Training data of past diversions/violations
- ML model to score unusual product/customer combinations
- Human feedback loop to improve detection
SIEMENS CRITERIA ASSESSMENT:
- Business Value: HIGH (detects diversion risks)
- Cross-business Applicability: HIGH (all controlled products)
- Technical Complexity: MEDIUM (OOB + custom rules)
- ACP Compliance: Level 2 (custom rules development)
- Alignment with Initiatives: MEDIUM (compliance, but custom work)
- User Impact: HIGH (prevents regulatory exposure)
CONCLUSION: Current design is rule-based, not AI. Could be enhanced with ML anomaly detection as future phase.</t>
        </is>
      </c>
      <c r="G28" s="122" t="inlineStr">
        <is>
          <t>OOB: SAP GTS End-Use Monitoring | CONFIG: Define restricted end-use categories | CUSTOM: Red flag detection rules for suspicious patterns (e.g., textile company + CNC machines)</t>
        </is>
      </c>
      <c r="H28" s="122" t="inlineStr">
        <is>
          <t>SAP GTS (OOB). CUSTOM rules for anomaly detection.</t>
        </is>
      </c>
      <c r="I28" s="122" t="inlineStr">
        <is>
          <t>Customer end-use declaration; Product capabilities (dual-use indicators); Corporate account industry; Order history patterns; Red flag rule definitions</t>
        </is>
      </c>
      <c r="J28" s="122" t="inlineStr">
        <is>
          <t>Triggered for controlled products. SAP GTS End-Use Monitoring validates stated end-use against product capabilities and customer industry. Custom red flag rules detect suspicious patterns (textile company ordering precision CNC). Requires end-use certificates for controlled items.</t>
        </is>
      </c>
      <c r="K28" s="122" t="inlineStr">
        <is>
          <t>End-use risk assessment (Low/Medium/High); Anomaly alerts with explanation; Required end-use certificates; Due diligence requirements; Recommended restrictions</t>
        </is>
      </c>
      <c r="L28" s="122" t="inlineStr">
        <is>
          <t>Risk detection accuracy; Diversion prevention rate; Assessment time; Dual-use misuse incidents prevented</t>
        </is>
      </c>
      <c r="M28" s="147" t="n"/>
      <c r="N28" s="121" t="inlineStr">
        <is>
          <t>Low</t>
        </is>
      </c>
      <c r="O28" s="121" t="inlineStr">
        <is>
          <t>Limited direct revenue impact. Primarily operational efficiency. Consider bundling with related agents to increase value proposition.</t>
        </is>
      </c>
      <c r="P28" s="121" t="inlineStr">
        <is>
          <t>Medium</t>
        </is>
      </c>
      <c r="Q28" s="121" t="inlineStr">
        <is>
          <t>Primarily serves specific use case but adaptable. Applicable across divisions with customization. Core functionality in "Compliance Orchestration Agent" serves common business processes.</t>
        </is>
      </c>
      <c r="R28" s="121" t="inlineStr">
        <is>
          <t>Medium</t>
        </is>
      </c>
      <c r="S28" s="121" t="inlineStr">
        <is>
          <t>1 system integration required. Systems: SAP GTS. Some custom development needed. Standard connectors and APIs available.</t>
        </is>
      </c>
      <c r="T28" s="121" t="inlineStr">
        <is>
          <t>High</t>
        </is>
      </c>
      <c r="U28" s="121" t="inlineStr">
        <is>
          <t>Standard CRM data. ACP Level 2 sufficient for implementation.</t>
        </is>
      </c>
      <c r="V28" s="121" t="inlineStr">
        <is>
          <t>Low</t>
        </is>
      </c>
      <c r="W28" s="149" t="inlineStr">
        <is>
          <t>STATUS VALIDATED - NO COMPETING INITIATIVE: End-use validation. Checked: AF (12), DI (10), SI (9), SAP AI (16) - none address end-use compliance. RECOMMENDATION: Proceed - unique compliance capability.</t>
        </is>
      </c>
      <c r="X28" s="149" t="inlineStr">
        <is>
          <t>Medium</t>
        </is>
      </c>
      <c r="Y28" s="149" t="inlineStr">
        <is>
          <t>Addresses [Missed Business Opportunities] pain point. 'Cannot systematically validate corporate account's stated end-use...'. Moderate user impact.</t>
        </is>
      </c>
      <c r="Z28" s="149" t="inlineStr">
        <is>
          <t>Low</t>
        </is>
      </c>
      <c r="AA28" s="149" t="inlineStr">
        <is>
          <t>Limited direct revenue impact. Primarily operational efficiency. Consider bundling with related agents to increase value proposition.</t>
        </is>
      </c>
      <c r="AB28" s="149" t="inlineStr">
        <is>
          <t>High</t>
        </is>
      </c>
      <c r="AC28" s="149" t="inlineStr">
        <is>
          <t>Extended timeline: &gt;6 months. Complex factors: SAP integration, custom development. Plan for phased rollout.</t>
        </is>
      </c>
    </row>
    <row r="29" ht="72.75" customHeight="1" s="113">
      <c r="A29" s="147" t="inlineStr">
        <is>
          <t>Compliance Orchestration Agent</t>
        </is>
      </c>
      <c r="B29" s="147" t="inlineStr">
        <is>
          <t>Compliance Documentation Sub-Agent</t>
        </is>
      </c>
      <c r="C29" s="122" t="inlineStr">
        <is>
          <t>Generates required export documentation: Shipper's Export Declaration (SED), Commercial Invoice with ECCN, Destination Control Statement, End-User Certificate, license applications. Maintains audit trail for customs and compliance audits.</t>
        </is>
      </c>
      <c r="D29" s="122" t="inlineStr">
        <is>
          <t>[Manual, Time-Intensive Processes] Export documentation prepared manually: Shipper's Export Declaration, Commercial Invoice with ECCN, End-User Certificates. 2-3 hours per shipment. Missing documents delay customs clearance 3-5 days.</t>
        </is>
      </c>
      <c r="E29" s="122" t="inlineStr">
        <is>
          <t>Does not qualify as AI Agent</t>
        </is>
      </c>
      <c r="F29" s="122" t="inlineStr">
        <is>
          <t>RATIONALE:
TECHNOLOGY: OOB: SAP GTS Document Generation
AI QUALIFICATION: NO
- Document generation from templates is deterministic
- Field population from transaction data is data merge
- Audit trail is systematic logging
- No learning, prediction, or NLP involved
SIEMENS CRITERIA ASSESSMENT:
- Business Value: HIGH (saves 2-3 hours per shipment)
- Cross-business Applicability: HIGH (all export shipments)
- Technical Complexity: LOW (OOB with template config)
- ACP Compliance: Level 1 (OOB SAP GTS)
- Alignment with Initiatives: HIGH (document automation)
- User Impact: HIGH (prevents 3-5 day customs delays)
CONCLUSION: SAP GTS OOB document generation. Template-based assembly is not AI. Rename to "Compliance Documentation Service" or similar.</t>
        </is>
      </c>
      <c r="G29" s="122" t="inlineStr">
        <is>
          <t>OOB: SAP GTS Document Generation - SED, Commercial Invoice, End-User Certificates, license applications | CONFIG: Customize document templates for Siemens branding/requirements</t>
        </is>
      </c>
      <c r="H29" s="122" t="inlineStr">
        <is>
          <t>SAP GTS (OOB). Configure document templates.</t>
        </is>
      </c>
      <c r="I29" s="122" t="inlineStr">
        <is>
          <t>All screening results from Sub-Agents 22-25; License data; Regulatory requirements by destination; Siemens document templates</t>
        </is>
      </c>
      <c r="J29" s="122" t="inlineStr">
        <is>
          <t>Triggered at quote approval for international shipments. SAP GTS Document Generation assembles required export documentation: Shipper's Export Declaration (SED), Commercial Invoice with ECCN, Destination Control Statement, End-User Certificate, license applications. Maintains audit trail.</t>
        </is>
      </c>
      <c r="K29" s="122" t="inlineStr">
        <is>
          <t>Complete export documentation package; Compliance certificate; Audit trail report; Customs filing-ready data; Document checklist status</t>
        </is>
      </c>
      <c r="L29" s="122" t="inlineStr">
        <is>
          <t>Documentation completeness (100% target); Customs clearance delay reduction; Audit readiness score; Document generation time vs. manual (2-3 hours)</t>
        </is>
      </c>
      <c r="M29" s="147" t="n"/>
      <c r="N29" s="121" t="inlineStr">
        <is>
          <t>High</t>
        </is>
      </c>
      <c r="O29" s="121" t="inlineStr">
        <is>
          <t>Strong business impact with quantified targets: 100%, 3 hours. Addresses [Manual, Time-Intensive Processes] pain point with measurable ROI.</t>
        </is>
      </c>
      <c r="P29" s="121" t="inlineStr">
        <is>
          <t>Medium</t>
        </is>
      </c>
      <c r="Q29" s="121" t="inlineStr">
        <is>
          <t>Primarily serves specific use case but adaptable. Applicable across divisions with customization. Core functionality in "Compliance Orchestration Agent" serves common business processes.</t>
        </is>
      </c>
      <c r="R29" s="121" t="inlineStr">
        <is>
          <t>Medium</t>
        </is>
      </c>
      <c r="S29" s="121" t="inlineStr">
        <is>
          <t>1 system integration required. Systems: SAP GTS. Standard connectors and APIs available.</t>
        </is>
      </c>
      <c r="T29" s="121" t="inlineStr">
        <is>
          <t>High</t>
        </is>
      </c>
      <c r="U29" s="121" t="inlineStr">
        <is>
          <t>Standard CRM data. ACP Level 2 sufficient for implementation.</t>
        </is>
      </c>
      <c r="V29" s="121" t="inlineStr">
        <is>
          <t>Low</t>
        </is>
      </c>
      <c r="W29" s="149" t="inlineStr">
        <is>
          <t>STATUS VALIDATED - NO COMPETING INITIATIVE: Compliance documentation. Checked: AF (12), DI (10), SI (9), SAP AI (16) - none address compliance doc generation. RECOMMENDATION: Proceed - unique capability.</t>
        </is>
      </c>
      <c r="X29" s="149" t="inlineStr">
        <is>
          <t>High</t>
        </is>
      </c>
      <c r="Y29" s="149" t="inlineStr">
        <is>
          <t>Addresses critical pain: [Manual, Time-Intensive Processes]. Specific issue: 'Export documentation prepared manually: Shipper's Export Declaration, Commercial Invoice with ECCN, End-User Certificate...'. Quantified impact in source data.</t>
        </is>
      </c>
      <c r="Z29" s="149" t="inlineStr">
        <is>
          <t>High</t>
        </is>
      </c>
      <c r="AA29" s="149" t="inlineStr">
        <is>
          <t>Strong business impact with quantified targets: 100%, 3 hours. Addresses [Manual, Time-Intensive Processes] pain point with measurable ROI.</t>
        </is>
      </c>
      <c r="AB29" s="149" t="inlineStr">
        <is>
          <t>Medium</t>
        </is>
      </c>
      <c r="AC29" s="149" t="inlineStr">
        <is>
          <t xml:space="preserve">Standard timeline: 3-6 months. 1 system integration. Key systems: SAP GTS. </t>
        </is>
      </c>
    </row>
    <row r="30" ht="87" customFormat="1" customHeight="1" s="73">
      <c r="A30" s="155" t="inlineStr">
        <is>
          <t>Compliance Orchestration Agent</t>
        </is>
      </c>
      <c r="B30" s="155" t="inlineStr">
        <is>
          <t>Regional Regulation Sub-Agent [NEW]</t>
        </is>
      </c>
      <c r="C30" s="156" t="inlineStr">
        <is>
          <t>Validates data handling compliance for B2B transactions: Are we authorized to transfer this corporate account's business contact data to Siemens entities in other countries? Do we have valid data processing agreements (DPAs) with this business customer? Ensures commercial records retention compliance.</t>
        </is>
      </c>
      <c r="D30" s="156" t="inlineStr">
        <is>
          <t>[Data Fragmentation &amp; Siloed Information] B2B contact data handling inconsistent across Siemens regions. Cross-border transfer rules unclear. Data processing agreements scattered. No centralized view of compliance status per corporate account.</t>
        </is>
      </c>
      <c r="E30" s="156" t="inlineStr">
        <is>
          <t>Does not qualify as AI Agent</t>
        </is>
      </c>
      <c r="F30" s="156" t="inlineStr">
        <is>
          <t>RATIONALE:
TECHNOLOGY: OOB: Salesforce Shield + SAP GTS + CUSTOM: Orchestration layer
AI QUALIFICATION: NO
- Consent validation is rule-based (Salesforce Shield)
- Export compliance is rule-based (SAP GTS)
- Custom orchestration coordinates both systems
- Regulation applicability based on geography rules
- No learning, prediction, or NLP involved
SIEMENS CRITERIA ASSESSMENT:
- Business Value: HIGH (centralizes compliance view)
- Cross-business Applicability: HIGH (all cross-border transactions)
- Technical Complexity: MEDIUM (multi-system orchestration)
- ACP Compliance: Level 2 (custom orchestration)
- Alignment with Initiatives: MEDIUM (compliance + integration)
- User Impact: HIGH (unified compliance status)
CONCLUSION: Multi-system orchestration of rule-based compliance checks. Valuable integration but not AI. Rename to "Regional Compliance Orchestration Service".</t>
        </is>
      </c>
      <c r="G30" s="156" t="inlineStr">
        <is>
          <t>OOB: Salesforce Shield (GDPR consent), SAP GTS (export compliance) | CUSTOM: Orchestration layer for B2B contact data transfers requiring both privacy AND export compliance checks</t>
        </is>
      </c>
      <c r="H30" s="156" t="inlineStr">
        <is>
          <t>Salesforce Shield + SAP GTS (OOB). CUSTOM orchestration layer.</t>
        </is>
      </c>
      <c r="I30" s="156" t="inlineStr">
        <is>
          <t>Corporate account geography and jurisdiction; Salesforce Shield consent records; Data processing purposes; GDPR/CCPA/LGPD requirements; Cross-border transfer rules</t>
        </is>
      </c>
      <c r="J30" s="156" t="inlineStr">
        <is>
          <t>Triggered during quote creation involving B2B contact data transfer. Salesforce Shield validates consent status for intended processing. SAP GTS handles export compliance. Custom orchestration layer coordinates both: determines applicable regulations, validates compliance, generates documentation. Flags non-compliant operations.</t>
        </is>
      </c>
      <c r="K30" s="156" t="inlineStr">
        <is>
          <t>Compliance status per regulation; Required consent validations; Data residency compliance; Cross-border transfer authorization; Unified compliance documentation</t>
        </is>
      </c>
      <c r="L30" s="156" t="inlineStr">
        <is>
          <t>Compliance violation prevention rate; Consent validation accuracy; Audit finding reduction; Regulatory fine avoidance</t>
        </is>
      </c>
      <c r="M30" s="121" t="n"/>
      <c r="N30" s="121" t="inlineStr">
        <is>
          <t>Low</t>
        </is>
      </c>
      <c r="O30" s="121" t="inlineStr">
        <is>
          <t>Limited direct revenue impact. Primarily operational efficiency. Consider bundling with related agents to increase value proposition.</t>
        </is>
      </c>
      <c r="P30" s="121" t="inlineStr">
        <is>
          <t>Medium</t>
        </is>
      </c>
      <c r="Q30" s="121" t="inlineStr">
        <is>
          <t>Primarily serves specific use case but adaptable. Applicable across divisions with customization. Core functionality in "Compliance Orchestration Agent" serves common business processes.</t>
        </is>
      </c>
      <c r="R30" s="121" t="inlineStr">
        <is>
          <t>Medium</t>
        </is>
      </c>
      <c r="S30" s="121" t="inlineStr">
        <is>
          <t>2 system integrations required. Systems: SAP GTS. Some custom development needed. Standard connectors and APIs available.</t>
        </is>
      </c>
      <c r="T30" s="121" t="inlineStr">
        <is>
          <t>High</t>
        </is>
      </c>
      <c r="U30" s="121" t="inlineStr">
        <is>
          <t>Standard CRM data. ACP Level 2 sufficient for implementation.</t>
        </is>
      </c>
      <c r="V30" s="121" t="inlineStr">
        <is>
          <t>Low</t>
        </is>
      </c>
      <c r="W30" s="148" t="inlineStr">
        <is>
          <t>STATUS VALIDATED - NO COMPETING INITIATIVE: Regional regulation handling. Checked: AF (12), DI (10), SI (9), SAP AI (16) - none address geo-specific compliance. RECOMMENDATION: Proceed - unique compliance capability.</t>
        </is>
      </c>
      <c r="X30" s="148" t="inlineStr">
        <is>
          <t>Medium</t>
        </is>
      </c>
      <c r="Y30" s="148" t="inlineStr">
        <is>
          <t>Addresses [Data Fragmentation &amp; Siloed Information] pain point. 'B2B contact data handling inconsistent across Siemens regions...'. Moderate user impact.</t>
        </is>
      </c>
      <c r="Z30" s="148" t="inlineStr">
        <is>
          <t>Low</t>
        </is>
      </c>
      <c r="AA30" s="148" t="inlineStr">
        <is>
          <t>Limited direct revenue impact. Primarily operational efficiency. Consider bundling with related agents to increase value proposition.</t>
        </is>
      </c>
      <c r="AB30" s="148" t="inlineStr">
        <is>
          <t>High</t>
        </is>
      </c>
      <c r="AC30" s="148" t="inlineStr">
        <is>
          <t>Extended timeline: &gt;6 months. Complex factors: SAP integration, custom development. Plan for phased rollout.</t>
        </is>
      </c>
    </row>
    <row r="31" ht="72.75" customHeight="1" s="113">
      <c r="A31" s="147" t="inlineStr">
        <is>
          <t>Quote Routing &amp; Approval Agent</t>
        </is>
      </c>
      <c r="B31" s="147" t="inlineStr">
        <is>
          <t>Deal Characteristic Analysis Sub-Agent</t>
        </is>
      </c>
      <c r="C31" s="122" t="inlineStr">
        <is>
          <t>Analyzes quote characteristics to determine approval requirements: deal value (&gt;€1M requires VP approval), discount percentage (&gt;30% requires pricing committee), non-standard terms (payment &gt;90 days requires finance approval), strategic account status.</t>
        </is>
      </c>
      <c r="D31" s="122" t="inlineStr">
        <is>
          <t>[Inconsistent &amp; Low-Quality Customer Interactions] Deal categorization inconsistent. Same deal type routed differently by different sales reps. Approval requirements unclear. Deals sent to wrong approvers. Inconsistent treatment creates confusion and delays.</t>
        </is>
      </c>
      <c r="E31" s="122" t="inlineStr">
        <is>
          <t>Does not qualify as AI Agent</t>
        </is>
      </c>
      <c r="F31" s="122" t="inlineStr">
        <is>
          <t>RATIONALE:
TECHNOLOGY: OOB: Salesforce CPQ Deal Scoring + Flow routing
AI QUALIFICATION: NO
- Deal scoring uses configured rules:
  - Deal value &gt;€1M = VP approval (threshold)
  - Discount &gt;30% = pricing committee (threshold)
  - Payment &gt;90 days = finance approval (threshold)
  - Strategic account = flag check
- All scoring factors are deterministic comparisons
- Approval requirements follow explicit policy matrix
PREVIOUS OVERCLAIM CORRECTED:
- "Agentforce Sales Agent explicitly mentioned for deal analysis" - but core is CPQ
- "AI-assisted characteristic analysis beyond rule-based scoring" - unsupported claim
- "Pattern recognition in deal characteristics" - no evidence of ML model
- Own rationale admitted: "Core scoring (value, discount%, terms) is rule-based"
SIEMENS CRITERIA ASSESSMENT:
- Business Value: HIGH (consistent routing)
- Cross-business Applicability: HIGH (all deals)
- Technical Complexity: LOW (OOB CPQ)
- ACP Compliance: Level 1 (OOB)
- Alignment with Initiatives: HIGH
- User Impact: MEDIUM
CONCLUSION: Deal scoring is threshold-based business rules, not machine learning. The "AI" claim was based on adding Agentforce conversational layer, which doesn't change the deterministic core.</t>
        </is>
      </c>
      <c r="G31" s="122" t="inlineStr">
        <is>
          <t>OOB: Salesforce CPQ Deal Scoring | CONFIG: Define scoring factors (deal value, discount %, payment terms, strategic account status) | AGENTFORCE: Sales Agent analyzes deal characteristics</t>
        </is>
      </c>
      <c r="H31" s="122" t="inlineStr">
        <is>
          <t>Salesforce CPQ + Agentforce Sales Agent (OOB). Configure scoring factors.</t>
        </is>
      </c>
      <c r="I31" s="122" t="inlineStr">
        <is>
          <t>Quote details (value, products, terms); Corporate account data (segment, strategic status); Discount levels; Historical deal patterns; Approval policy thresholds</t>
        </is>
      </c>
      <c r="J31" s="122" t="inlineStr">
        <is>
          <t>Triggered after credit and compliance pass. Salesforce CPQ Deal Scoring analyzes: deal value (&gt;€1M triggers VP), discount % (&gt;30% triggers pricing committee), non-standard terms (&gt;90 days payment triggers finance), strategic account status. Agentforce Sales Agent assists with deal analysis.</t>
        </is>
      </c>
      <c r="K31" s="122" t="inlineStr">
        <is>
          <t>Deal complexity score; Risk assessment; Strategic value rating; Required approval levels; Policy exceptions identified</t>
        </is>
      </c>
      <c r="L31" s="122" t="inlineStr">
        <is>
          <t>Scoring accuracy; Analysis time; Correct routing rate; Approval rejection due to wrong routing</t>
        </is>
      </c>
      <c r="M31" s="147" t="n"/>
      <c r="N31" s="121" t="inlineStr">
        <is>
          <t>Low</t>
        </is>
      </c>
      <c r="O31" s="121" t="inlineStr">
        <is>
          <t>Limited direct revenue impact. Primarily operational efficiency. Consider bundling with related agents to increase value proposition.</t>
        </is>
      </c>
      <c r="P31" s="121" t="inlineStr">
        <is>
          <t>High</t>
        </is>
      </c>
      <c r="Q31" s="121" t="inlineStr">
        <is>
          <t>Approval workflows follow corporate governance policies applicable across all divisions. Deal thresholds and approver hierarchies are enterprise-standard.</t>
        </is>
      </c>
      <c r="R31" s="121" t="inlineStr">
        <is>
          <t>Medium</t>
        </is>
      </c>
      <c r="S31" s="121" t="inlineStr">
        <is>
          <t>2 system integrations required. Systems: Salesforce CPQ , Agentforce Sales Agent. Standard connectors and APIs available.</t>
        </is>
      </c>
      <c r="T31" s="121" t="inlineStr">
        <is>
          <t>High</t>
        </is>
      </c>
      <c r="U31" s="121" t="inlineStr">
        <is>
          <t>Standard CRM data. ACP Level 2 sufficient for implementation.</t>
        </is>
      </c>
      <c r="V31" s="121" t="inlineStr">
        <is>
          <t>Low</t>
        </is>
      </c>
      <c r="W31" s="149" t="inlineStr">
        <is>
          <t>STATUS VALIDATED - NO COMPETING INITIATIVE: Deal characteristic analysis. Checked: AF (12), DI (10), SI (9), SAP AI (16) - none address deal analysis for routing. RECOMMENDATION: Proceed - unique workflow capability.</t>
        </is>
      </c>
      <c r="X31" s="149" t="inlineStr">
        <is>
          <t>Low</t>
        </is>
      </c>
      <c r="Y31" s="149" t="inlineStr">
        <is>
          <t>Pain point documented but limited scope: [Inconsistent &amp; Low-Quality Customer Interactions]. May affect smaller user population.</t>
        </is>
      </c>
      <c r="Z31" s="149" t="inlineStr">
        <is>
          <t>Low</t>
        </is>
      </c>
      <c r="AA31" s="149" t="inlineStr">
        <is>
          <t>Limited direct revenue impact. Primarily operational efficiency. Consider bundling with related agents to increase value proposition.</t>
        </is>
      </c>
      <c r="AB31" s="149" t="inlineStr">
        <is>
          <t>Low</t>
        </is>
      </c>
      <c r="AC31" s="149" t="inlineStr">
        <is>
          <t>Quick win: ≤3 months. Primarily OOB configuration. Systems: Salesforce CPQ , Agentforce Sales Agent. Minimal dependencies.</t>
        </is>
      </c>
    </row>
    <row r="32" ht="72.75" customHeight="1" s="113">
      <c r="A32" s="147" t="inlineStr">
        <is>
          <t>Quote Routing &amp; Approval Agent</t>
        </is>
      </c>
      <c r="B32" s="147" t="inlineStr">
        <is>
          <t>Approver Selection Sub-Agent</t>
        </is>
      </c>
      <c r="C32" s="122" t="inlineStr">
        <is>
          <t>⚠️ DUPLICATE OF Row 22 (Approval Routing) - Both use SF Flow approval routing. RECOMMEND MERGE. | Identifies the correct approvers for a quote based on: deal characteristics, organizational hierarchy, approver availability, and delegation rules. Example: Regional Sales VP is on vacation; routes to delegated authority or escalates to next level.</t>
        </is>
      </c>
      <c r="D32" s="122" t="inlineStr">
        <is>
          <t>[Manual, Time-Intensive Processes] Approver selection manual. Sales rep guesses who should approve. Vacation coverage unclear. Delegation rules undocumented. Time wasted routing to wrong people. Manual rerouting when approvers unavailable.</t>
        </is>
      </c>
      <c r="E32" s="122" t="inlineStr">
        <is>
          <t>Does not qualify as AI Agent</t>
        </is>
      </c>
      <c r="F32" s="122" t="inlineStr">
        <is>
          <t>RATIONALE:
TECHNOLOGY: OOB: Salesforce Flow approval routing with org hierarchy lookup
AI QUALIFICATION: NO
- Approver selection follows explicit policy matrix
- Org hierarchy lookup is database query
- Availability checking is calendar integration
- Delegation rules are configured policies
- No learning, prediction, or NLP
SIEMENS CRITERIA ASSESSMENT:
- Business Value: HIGH (eliminates manual approver hunting)
- Cross-business Applicability: HIGH (all approval workflows)
- Technical Complexity: LOW (OOB Flow + integration)
- ACP Compliance: Level 1 (OOB Salesforce)
- Alignment with Initiatives: HIGH (process automation)
- User Impact: HIGH (fastest approval path)
CONCLUSION: Salesforce Flow provides matrix-based approver routing. Valuable automation but deterministic lookup, not AI.</t>
        </is>
      </c>
      <c r="G32" s="122" t="inlineStr">
        <is>
          <t>OOB: Salesforce Flow approval routing with org hierarchy lookup | CONFIG: Define approval matrix by deal type/amount/region, delegation rules, availability fallbacks</t>
        </is>
      </c>
      <c r="H32" s="122" t="inlineStr">
        <is>
          <t>Salesforce Flow (OOB). Configure approval matrix.</t>
        </is>
      </c>
      <c r="I32" s="122" t="inlineStr">
        <is>
          <t>Deal characteristics from Sub-Agent 28; Approval policy matrix; Org hierarchy (HRIS integration); Approver availability calendars; Delegation rules</t>
        </is>
      </c>
      <c r="J32" s="122" t="inlineStr">
        <is>
          <t>Triggered after deal analysis. Salesforce Flow determines required approvers based on policy matrix. Checks approver availability, current workload, vacation/delegation status. Optimizes for fastest approval path. Handles fallback routing when primary approvers unavailable.</t>
        </is>
      </c>
      <c r="K32" s="122" t="inlineStr">
        <is>
          <t>Approver list with sequence/parallel designation; Justification for each approver; Delegation assignments; Estimated approval timeline</t>
        </is>
      </c>
      <c r="L32" s="122" t="inlineStr">
        <is>
          <t>Routing accuracy; Approval cycle time; Rerouting incidents due to unavailability; Workload balance across approvers</t>
        </is>
      </c>
      <c r="M32" s="147" t="n"/>
      <c r="N32" s="121" t="inlineStr">
        <is>
          <t>Low</t>
        </is>
      </c>
      <c r="O32" s="121" t="inlineStr">
        <is>
          <t>Limited direct revenue impact. Primarily operational efficiency. Consider bundling with related agents to increase value proposition.</t>
        </is>
      </c>
      <c r="P32" s="121" t="inlineStr">
        <is>
          <t>High</t>
        </is>
      </c>
      <c r="Q32" s="121" t="inlineStr">
        <is>
          <t>Approval workflows follow corporate governance policies applicable across all divisions. Deal thresholds and approver hierarchies are enterprise-standard.</t>
        </is>
      </c>
      <c r="R32" s="121" t="inlineStr">
        <is>
          <t>Low</t>
        </is>
      </c>
      <c r="S32" s="121" t="inlineStr">
        <is>
          <t>Straightforward implementation. Primarily OOB configuration. Systems: Salesforce native. Standard setup with minimal custom development.</t>
        </is>
      </c>
      <c r="T32" s="121" t="inlineStr">
        <is>
          <t>High</t>
        </is>
      </c>
      <c r="U32" s="121" t="inlineStr">
        <is>
          <t>Standard CRM data. ACP Level 2 sufficient for implementation.</t>
        </is>
      </c>
      <c r="V32" s="121" t="inlineStr">
        <is>
          <t>Low</t>
        </is>
      </c>
      <c r="W32" s="149" t="inlineStr">
        <is>
          <t>STATUS VALIDATED - NO COMPETING INITIATIVE: Approver selection. Checked: AF (12), DI (10), SI (9), SAP AI (16) - none address intelligent approver routing. RECOMMENDATION: Proceed - unique capability.</t>
        </is>
      </c>
      <c r="X32" s="149" t="inlineStr">
        <is>
          <t>Medium</t>
        </is>
      </c>
      <c r="Y32" s="149" t="inlineStr">
        <is>
          <t>Addresses [Manual, Time-Intensive Processes] pain point. 'Approver selection manual...'. Moderate user impact.</t>
        </is>
      </c>
      <c r="Z32" s="149" t="inlineStr">
        <is>
          <t>Low</t>
        </is>
      </c>
      <c r="AA32" s="149" t="inlineStr">
        <is>
          <t>Limited direct revenue impact. Primarily operational efficiency. Consider bundling with related agents to increase value proposition.</t>
        </is>
      </c>
      <c r="AB32" s="149" t="inlineStr">
        <is>
          <t>Low</t>
        </is>
      </c>
      <c r="AC32" s="149" t="inlineStr">
        <is>
          <t>Quick win: ≤3 months. Primarily OOB configuration. Systems: Salesforce native. Minimal dependencies.</t>
        </is>
      </c>
    </row>
    <row r="33" ht="72.75" customFormat="1" customHeight="1" s="59">
      <c r="A33" s="147" t="inlineStr">
        <is>
          <t>Quote Routing &amp; Approval Agent</t>
        </is>
      </c>
      <c r="B33" s="147" t="inlineStr">
        <is>
          <t>Approval Workflow Orchestration Sub-Agent</t>
        </is>
      </c>
      <c r="C33" s="122" t="inlineStr">
        <is>
          <t>⚠️ DUPLICATE OF Row 59 (Notifications &amp; Approval) - Both handle approval workflows + SLA tracking. RECOMMEND MERGE. | Manages the approval workflow: sends quote packages to approvers in correct sequence (or parallel where allowed), tracks response times against SLAs (e.g., 24 hours for deals &gt;€500K), escalates overdue approvals to management.</t>
        </is>
      </c>
      <c r="D33" s="122" t="inlineStr">
        <is>
          <t>[Manual, Time-Intensive Processes] Approvals processed sequentially: wait for VP (2 days), then Legal (2 days), then Finance (2 days). No parallel routing. No automated escalation. Manual status tracking. 5-10 days added to quote cycle.</t>
        </is>
      </c>
      <c r="E33" s="122" t="inlineStr">
        <is>
          <t>Does not qualify as AI Agent</t>
        </is>
      </c>
      <c r="F33" s="122" t="inlineStr">
        <is>
          <t>RATIONALE:
TECHNOLOGY: OOB: Salesforce Flow workflow orchestration
AI QUALIFICATION: NO
- Workflow routing follows configured paths
- SLA tracking is timer-based
- Auto-escalation triggers on timeouts
- Parallel/sequential logic is predefined
- No learning, prediction, or NLP
SIEMENS CRITERIA ASSESSMENT:
- Business Value: HIGH (saves 5-10 days from cycle)
- Cross-business Applicability: HIGH (all approval workflows)
- Technical Complexity: LOW (OOB Flow)
- ACP Compliance: Level 1 (OOB Salesforce)
- Alignment with Initiatives: HIGH (process automation)
- User Impact: HIGH (parallel routing, auto-escalation)
CONCLUSION: Standard workflow automation. Salesforce Flow handles timer-based orchestration without AI.</t>
        </is>
      </c>
      <c r="G33" s="122" t="inlineStr">
        <is>
          <t>OOB: Salesforce Flow workflow orchestration - parallel routing, SLA tracking, auto-escalation | CONFIG: Define workflow paths, SLA thresholds (24h for &gt;€500K deals), escalation rules</t>
        </is>
      </c>
      <c r="H33" s="122" t="inlineStr">
        <is>
          <t>Salesforce Flow (OOB). Configure SLAs and escalation.</t>
        </is>
      </c>
      <c r="I33" s="122" t="inlineStr">
        <is>
          <t>Approver selections from Sub-Agent 29; Deal justification package; SLA policies (24h for &gt;€500K); Business calendar</t>
        </is>
      </c>
      <c r="J33" s="122" t="inlineStr">
        <is>
          <t>Triggered after approver selection. Salesforce Flow creates workflow instance. Sends notifications with deal context to approvers (parallel where allowed). Tracks responses against SLAs. Auto-escalates overdue approvals to management. Handles conditional routing based on responses.</t>
        </is>
      </c>
      <c r="K33" s="122" t="inlineStr">
        <is>
          <t>Workflow status (Pending/In Progress/Complete); Approver notifications; SLA countdown timers; Escalation triggers; Real-time tracking for sales rep</t>
        </is>
      </c>
      <c r="L33" s="122" t="inlineStr">
        <is>
          <t>On-time approval rate (target: &gt;90%); Escalation frequency; Workflow completion time; Bottleneck identification</t>
        </is>
      </c>
      <c r="M33" s="147" t="n"/>
      <c r="N33" s="121" t="inlineStr">
        <is>
          <t>High</t>
        </is>
      </c>
      <c r="O33" s="121" t="inlineStr">
        <is>
          <t>Strong business impact with quantified targets: &gt;90%. Addresses [Manual, Time-Intensive Processes] pain point with measurable ROI.</t>
        </is>
      </c>
      <c r="P33" s="121" t="inlineStr">
        <is>
          <t>High</t>
        </is>
      </c>
      <c r="Q33" s="121" t="inlineStr">
        <is>
          <t>Approval workflows follow corporate governance policies applicable across all divisions. Deal thresholds and approver hierarchies are enterprise-standard.</t>
        </is>
      </c>
      <c r="R33" s="121" t="inlineStr">
        <is>
          <t>Low</t>
        </is>
      </c>
      <c r="S33" s="121" t="inlineStr">
        <is>
          <t>Straightforward implementation. Primarily OOB configuration. Systems: Salesforce native. Standard setup with minimal custom development.</t>
        </is>
      </c>
      <c r="T33" s="121" t="inlineStr">
        <is>
          <t>High</t>
        </is>
      </c>
      <c r="U33" s="121" t="inlineStr">
        <is>
          <t>Standard CRM data. ACP Level 2 sufficient for implementation.</t>
        </is>
      </c>
      <c r="V33" s="121" t="inlineStr">
        <is>
          <t>Low</t>
        </is>
      </c>
      <c r="W33" s="149" t="inlineStr">
        <is>
          <t>STATUS VALIDATED - NO COMPETING INITIATIVE: Approval workflow orchestration. Checked: AF (12), DI (10), SI (9), SAP AI (16) - none address multi-tier approval coordination. RECOMMENDATION: Proceed - unique workflow capability.</t>
        </is>
      </c>
      <c r="X33" s="149" t="inlineStr">
        <is>
          <t>High</t>
        </is>
      </c>
      <c r="Y33" s="149" t="inlineStr">
        <is>
          <t>Addresses critical pain: [Manual, Time-Intensive Processes]. Specific issue: 'Approvals processed sequentially: wait for VP (2 days), then Legal (2 days), then Finance (2 days)...'. Quantified impact in source data.</t>
        </is>
      </c>
      <c r="Z33" s="149" t="inlineStr">
        <is>
          <t>High</t>
        </is>
      </c>
      <c r="AA33" s="149" t="inlineStr">
        <is>
          <t>Strong business impact with quantified targets: &gt;90%. Addresses [Manual, Time-Intensive Processes] pain point with measurable ROI.</t>
        </is>
      </c>
      <c r="AB33" s="149" t="inlineStr">
        <is>
          <t>Low</t>
        </is>
      </c>
      <c r="AC33" s="149" t="inlineStr">
        <is>
          <t>Quick win: ≤3 months. Primarily OOB configuration. Systems: Salesforce native. Minimal dependencies.</t>
        </is>
      </c>
    </row>
    <row r="34" ht="72.75" customHeight="1" s="113">
      <c r="A34" s="147" t="inlineStr">
        <is>
          <t>Quote Routing &amp; Approval Agent</t>
        </is>
      </c>
      <c r="B34" s="147" t="inlineStr">
        <is>
          <t>Approval Decision Support Sub-Agent</t>
        </is>
      </c>
      <c r="C34" s="122" t="inlineStr">
        <is>
          <t>Provides approvers with decision context: similar deals won/lost with this discount level, customer's purchase history, competitive situation, margin analysis, policy exceptions being requested. Enables faster, more informed approval decisions.</t>
        </is>
      </c>
      <c r="D34" s="122" t="inlineStr">
        <is>
          <t>[Information Overload &amp; Decision Paralysis] Approvers receive quote with minimal context. Spend 30-60 minutes researching: customer history, similar deals, competitive situation. Information overload from 20+ pending approvals. Decision fatigue causes delays.</t>
        </is>
      </c>
      <c r="E34" s="122" t="inlineStr">
        <is>
          <t>Qualifies - Salesforce Agentforce Employee</t>
        </is>
      </c>
      <c r="F34" s="122" t="inlineStr">
        <is>
          <t>RATIONALE:
TECHNOLOGY: OOB: Agentforce Employee Agent (NLG summarization) + CUSTOM: Deal benchmarking analytics
AI QUALIFICATION: YES - Salesforce Agentforce Employee (with caveats)
AI COMPONENTS:
1. Agentforce Employee Agent (OOB):
   - Natural Language Generation for context summarization
   - Conversational query interface for approvers
   - Knowledge retrieval from deal context
2. Deal Benchmarking Analytics (CUSTOM - NOT AI):
   - Similar deals lookup by discount/value/industry
   - Win rate statistics by discount tier
   - Margin comparison to target
   - This is SQL analytics, not ML
HONEST ASSESSMENT:
- The NLG summarization IS AI (transformer-based language model)
- The conversational interface IS AI (NLP intent recognition)
- The deal benchmarking is traditional analytics, not AI
- Primary value is AI-assisted decision context, not autonomous decisions
WHY QUALIFIES AS AI AGENT:
- Agentforce Employee Agent uses LLM for summarization
- NLP-based query understanding
- Context-aware response generation
- These are legitimate AI capabilities per Salesforce Agentforce architecture
SIEMENS CRITERIA ASSESSMENT:
- Business Value: HIGH (faster, informed approvals)
- Cross-business Applicability: HIGH (all approvers)
- Technical Complexity: MEDIUM (OOB + custom analytics)
- ACP Compliance: Level 1 (Agentforce OOB) + Level 2 (custom analytics)
- Alignment with Initiatives: HIGH (AI-assisted decisions)
- User Impact: HIGH (approvers)
CONCLUSION: Qualifies as Agentforce Employee Agent for NLG summarization and conversational interface. The AI provides decision SUPPORT (context, summaries), not decision MAKING.</t>
        </is>
      </c>
      <c r="G34" s="122" t="inlineStr">
        <is>
          <t>OOB: Salesforce Agentforce Employee Agent
- NLG: Context summarization using LLM
- NLP: Conversational query interface
- Knowledge: Deal context retrieval
| CUSTOM: Deal benchmarking analytics (SQL-based, NOT AI)
- Similar deals lookup by discount/value/industry
- Win rate by discount tier
- Margin comparison to targets
- Historical pattern analysis
| CONFIG: Define deal similarity criteria, benchmark thresholds</t>
        </is>
      </c>
      <c r="H34" s="122" t="inlineStr">
        <is>
          <t>Agentforce Employee Agent (OOB). CUSTOM analytics for deal benchmarking.</t>
        </is>
      </c>
      <c r="I34" s="122" t="inlineStr">
        <is>
          <t>Deal details; Historical similar deals (won/lost); Win rate by discount level; Margin benchmarks; Policy exceptions being requested</t>
        </is>
      </c>
      <c r="J34" s="122" t="inlineStr">
        <is>
          <t>Triggered when approver opens workflow. Agentforce Employee Agent summarizes deal context. Custom analytics layer provides: similar deals at this discount level (win rate), margin analysis vs. target, customer relationship history, competitive situation. Highlights policy exceptions.</t>
        </is>
      </c>
      <c r="K34" s="122" t="inlineStr">
        <is>
          <t>Decision recommendation with confidence; Comparable deal analysis; Risk/reward summary; Suggested conditions; Policy exception justification</t>
        </is>
      </c>
      <c r="L34" s="122" t="inlineStr">
        <is>
          <t>Decision quality vs. deal outcomes; Approver satisfaction; Decision time reduction; Information completeness rating</t>
        </is>
      </c>
      <c r="M34" s="147" t="n"/>
      <c r="N34" s="121" t="inlineStr">
        <is>
          <t>Low</t>
        </is>
      </c>
      <c r="O34" s="121" t="inlineStr">
        <is>
          <t>Limited direct revenue impact. Primarily operational efficiency. Consider bundling with related agents to increase value proposition.</t>
        </is>
      </c>
      <c r="P34" s="121" t="inlineStr">
        <is>
          <t>High</t>
        </is>
      </c>
      <c r="Q34" s="121" t="inlineStr">
        <is>
          <t>Approval workflows follow corporate governance policies applicable across all divisions. Deal thresholds and approver hierarchies are enterprise-standard.</t>
        </is>
      </c>
      <c r="R34" s="121" t="inlineStr">
        <is>
          <t>Low</t>
        </is>
      </c>
      <c r="S34" s="121" t="inlineStr">
        <is>
          <t>Straightforward implementation. Primarily OOB configuration. Systems: Agentforce Employee Agent. Standard setup with minimal custom development.</t>
        </is>
      </c>
      <c r="T34" s="121" t="inlineStr">
        <is>
          <t>Low</t>
        </is>
      </c>
      <c r="U34" s="121" t="inlineStr">
        <is>
          <t>⚠️ POTENTIAL BLOCKER: May require ACP Level 3 due to sensitive data access.</t>
        </is>
      </c>
      <c r="V34" s="121" t="inlineStr">
        <is>
          <t>Low</t>
        </is>
      </c>
      <c r="W34" s="149" t="inlineStr">
        <is>
          <t>STATUS VALIDATED - NO COMPETING INITIATIVE: Approval decision support. Checked: AF (12), DI (10), SI (9), SAP AI (16) - none address AI-assisted approvals. RECOMMENDATION: Proceed - unique capability.</t>
        </is>
      </c>
      <c r="X34" s="149" t="inlineStr">
        <is>
          <t>High</t>
        </is>
      </c>
      <c r="Y34" s="149" t="inlineStr">
        <is>
          <t>Addresses critical pain: [Information Overload &amp; Decision Paralysis]. Specific issue: 'Approvers receive quote with minimal context...'. Quantified impact in source data.</t>
        </is>
      </c>
      <c r="Z34" s="149" t="inlineStr">
        <is>
          <t>Low</t>
        </is>
      </c>
      <c r="AA34" s="149" t="inlineStr">
        <is>
          <t>Limited direct revenue impact. Primarily operational efficiency. Consider bundling with related agents to increase value proposition.</t>
        </is>
      </c>
      <c r="AB34" s="149" t="inlineStr">
        <is>
          <t>Medium</t>
        </is>
      </c>
      <c r="AC34" s="149" t="inlineStr">
        <is>
          <t>Standard timeline: 3-6 months. 1 system integration. Key systems: Agentforce Employee Agent. Some custom development included.</t>
        </is>
      </c>
    </row>
    <row r="35" ht="72.75" customHeight="1" s="113">
      <c r="A35" s="147" t="inlineStr">
        <is>
          <t>Quote Routing &amp; Approval Agent</t>
        </is>
      </c>
      <c r="B35" s="147" t="inlineStr">
        <is>
          <t>Workflow Exception Handling Sub-Agent</t>
        </is>
      </c>
      <c r="C35" s="122" t="inlineStr">
        <is>
          <t>Handles approval exceptions: routes rejected quotes back to sales with specific feedback, manages policy override requests, handles approver unavailability with fallback routing, logs all exceptions for audit.</t>
        </is>
      </c>
      <c r="D35" s="122" t="inlineStr">
        <is>
          <t>[Manual, Time-Intensive Processes] Exception handling manual. Rejected quotes dead-end - sales rep not told why. Stalled approvals not escalated. Timeouts not tracked. Manual email chains to resolve. No systematic exception management.</t>
        </is>
      </c>
      <c r="E35" s="122" t="inlineStr">
        <is>
          <t>Does not qualify as AI Agent</t>
        </is>
      </c>
      <c r="F35" s="122" t="inlineStr">
        <is>
          <t>RATIONALE:
TECHNOLOGY: OOB: Salesforce Flow exception handling
AI QUALIFICATION: NO
- Rejection routing follows configured rules
- Timeout detection is timer-based
- Fallback assignment follows delegation rules
- Feedback templates are predefined text
- No learning, prediction, or NLP
SIEMENS CRITERIA ASSESSMENT:
- Business Value: HIGH (closes exception loop)
- Cross-business Applicability: HIGH (all workflows need exception handling)
- Technical Complexity: LOW (OOB Flow)
- ACP Compliance: Level 1 (OOB Salesforce)
- Alignment with Initiatives: HIGH (process automation)
- User Impact: HIGH (no more dead-end rejections)
CONCLUSION: Standard exception handling in Salesforce Flow. Rule-based routing and template-based feedback, not AI.</t>
        </is>
      </c>
      <c r="G35" s="122" t="inlineStr">
        <is>
          <t>OOB: Salesforce Flow exception handling - rejection routing, timeout detection, fallback assignment | CONFIG: Define rejection feedback templates, timeout thresholds, escalation paths</t>
        </is>
      </c>
      <c r="H35" s="122" t="inlineStr">
        <is>
          <t>Salesforce Flow (OOB). Configure exception rules.</t>
        </is>
      </c>
      <c r="I35" s="122" t="inlineStr">
        <is>
          <t>Workflow status; Approver responses and rejections; Rejection reasons; Policy override requests; Timeout thresholds</t>
        </is>
      </c>
      <c r="J35" s="122" t="inlineStr">
        <is>
          <t>Continuously monitors workflows via Salesforce Flow. Routes rejections back to sales rep with specific feedback (why rejected, what to fix). Manages policy override requests. Handles approver unavailability with fallback routing. Tracks timeout scenarios. Logs all exceptions for audit.</t>
        </is>
      </c>
      <c r="K35" s="122" t="inlineStr">
        <is>
          <t>Exception routing decisions; Rejection feedback to sales; Override approval status; Fallback assignments; Exception audit log</t>
        </is>
      </c>
      <c r="L35" s="122" t="inlineStr">
        <is>
          <t>Exception resolution time; Override approval rate; Rework cycles; Stalled approval incidents</t>
        </is>
      </c>
      <c r="M35" s="147" t="n"/>
      <c r="N35" s="121" t="inlineStr">
        <is>
          <t>Low</t>
        </is>
      </c>
      <c r="O35" s="121" t="inlineStr">
        <is>
          <t>Limited direct revenue impact. Primarily operational efficiency. Consider bundling with related agents to increase value proposition.</t>
        </is>
      </c>
      <c r="P35" s="121" t="inlineStr">
        <is>
          <t>High</t>
        </is>
      </c>
      <c r="Q35" s="121" t="inlineStr">
        <is>
          <t>Approval workflows follow corporate governance policies applicable across all divisions. Deal thresholds and approver hierarchies are enterprise-standard.</t>
        </is>
      </c>
      <c r="R35" s="121" t="inlineStr">
        <is>
          <t>Low</t>
        </is>
      </c>
      <c r="S35" s="121" t="inlineStr">
        <is>
          <t>Straightforward implementation. Primarily OOB configuration. Systems: Salesforce native. Standard setup with minimal custom development.</t>
        </is>
      </c>
      <c r="T35" s="121" t="inlineStr">
        <is>
          <t>High</t>
        </is>
      </c>
      <c r="U35" s="121" t="inlineStr">
        <is>
          <t>Standard CRM data. ACP Level 2 sufficient for implementation.</t>
        </is>
      </c>
      <c r="V35" s="121" t="inlineStr">
        <is>
          <t>Low</t>
        </is>
      </c>
      <c r="W35" s="149" t="inlineStr">
        <is>
          <t>STATUS VALIDATED - NO COMPETING INITIATIVE: Workflow exception handling. Checked: AF (12), DI (10), SI (9), SAP AI (16) - none address escalation/timeout management. RECOMMENDATION: Proceed - unique capability.</t>
        </is>
      </c>
      <c r="X35" s="149" t="inlineStr">
        <is>
          <t>Medium</t>
        </is>
      </c>
      <c r="Y35" s="149" t="inlineStr">
        <is>
          <t>Addresses [Manual, Time-Intensive Processes] pain point. 'Exception handling manual...'. Moderate user impact.</t>
        </is>
      </c>
      <c r="Z35" s="149" t="inlineStr">
        <is>
          <t>Low</t>
        </is>
      </c>
      <c r="AA35" s="149" t="inlineStr">
        <is>
          <t>Limited direct revenue impact. Primarily operational efficiency. Consider bundling with related agents to increase value proposition.</t>
        </is>
      </c>
      <c r="AB35" s="149" t="inlineStr">
        <is>
          <t>Low</t>
        </is>
      </c>
      <c r="AC35" s="149" t="inlineStr">
        <is>
          <t>Quick win: ≤3 months. Primarily OOB configuration. Systems: Salesforce native. Minimal dependencies.</t>
        </is>
      </c>
    </row>
    <row r="36" ht="72.75" customHeight="1" s="113">
      <c r="A36" s="147" t="inlineStr">
        <is>
          <t>Quote Conversion Agent</t>
        </is>
      </c>
      <c r="B36" s="147" t="inlineStr">
        <is>
          <t>Conversion Readiness Sub-Agent</t>
        </is>
      </c>
      <c r="C36" s="122" t="inlineStr">
        <is>
          <t>Validates quote is ready for conversion to SAP sales order: all approvals obtained, customer has issued Purchase Order, contract signed (if required), credit approved, delivery dates confirmed, compliance checks passed.</t>
        </is>
      </c>
      <c r="D36" s="122" t="inlineStr">
        <is>
          <t>[Missed Business Opportunities] Quotes converted before prerequisites complete. Credit not approved, PO not received, contract unsigned. Order fails in SAP. Sales scrambles. Conversion success rate below 80%. Missed revenue from failed conversions.</t>
        </is>
      </c>
      <c r="E36" s="122" t="inlineStr">
        <is>
          <t>Does not qualify as AI Agent</t>
        </is>
      </c>
      <c r="F36" s="122" t="inlineStr">
        <is>
          <t>RATIONALE:
TECHNOLOGY: OOB: Salesforce CPQ + CUSTOM: MuleSoft cross-system status aggregation
AI QUALIFICATION: NO
- Readiness validation is a checklist:
  - All approvals obtained? (boolean)
  - Customer PO received? (boolean)
  - Contract signed? (boolean)
  - Credit approved? (boolean)
  - Delivery dates confirmed? (boolean)
  - Compliance passed? (boolean)
- Each check is a status lookup, not prediction
- Readiness score = count of completed prerequisites
PREVIOUS OVERCLAIM CORRECTED:
- "Agentforce Quoting Agent mentioned as primary component" - but function is status checking
- "AI-assisted readiness assessment" - it's boolean checks aggregated
- "Intelligent prioritization of blockers" - ranking by SLA/impact is deterministic
SIEMENS CRITERIA ASSESSMENT:
- Business Value: HIGH (prevents failed conversions)
- Cross-business Applicability: HIGH (all conversions)
- Technical Complexity: MEDIUM (cross-system integration)
- ACP Compliance: Level 2 (Custom integration)
- Alignment with Initiatives: HIGH
- User Impact: HIGH
CONCLUSION: This is a multi-system checklist aggregator. Valuable automation, but not AI. No learning, no prediction, no ML model.</t>
        </is>
      </c>
      <c r="G36" s="122" t="inlineStr">
        <is>
          <t>OOB: Agentforce Quoting Agent, Salesforce CPQ conversion validation | CUSTOM: Pre-conversion checklist requiring multi-system status (credit approved, compliance passed, PO received)</t>
        </is>
      </c>
      <c r="H36" s="122" t="inlineStr">
        <is>
          <t>Agentforce Quoting Agent + CPQ (OOB). CUSTOM cross-system checklist.</t>
        </is>
      </c>
      <c r="I36" s="122" t="inlineStr">
        <is>
          <t>Quote approval status; Credit approval status; Compliance check status; Customer PO status; Contract execution status; Delivery date confirmation</t>
        </is>
      </c>
      <c r="J36" s="122" t="inlineStr">
        <is>
          <t>Triggered when quote approved. Agentforce Quoting Agent with Salesforce CPQ validates prerequisites. Custom cross-system checklist verifies: credit approved, compliance passed, customer PO received, contract signed (if required), delivery dates confirmed. Calculates readiness score.</t>
        </is>
      </c>
      <c r="K36" s="122" t="inlineStr">
        <is>
          <t>Readiness assessment (Ready/Waiting/Blocked); Missing prerequisites list; Blocker details by system; Recommended conversion date; Risk flags</t>
        </is>
      </c>
      <c r="L36" s="122" t="inlineStr">
        <is>
          <t>Conversion success rate on first attempt; Prerequisite completion rate; Time from approval to ready; Blocked conversion incidents</t>
        </is>
      </c>
      <c r="M36" s="147" t="n"/>
      <c r="N36" s="121" t="inlineStr">
        <is>
          <t>High</t>
        </is>
      </c>
      <c r="O36" s="121" t="inlineStr">
        <is>
          <t>Strong business impact based on operational efficiency gains. Addresses [Missed Business Opportunities] pain point with measurable ROI.</t>
        </is>
      </c>
      <c r="P36" s="121" t="inlineStr">
        <is>
          <t>High</t>
        </is>
      </c>
      <c r="Q36" s="121" t="inlineStr">
        <is>
          <t>Applicable across divisions with customization. Core functionality in "Quote Conversion Agent" serves common business processes.</t>
        </is>
      </c>
      <c r="R36" s="121" t="inlineStr">
        <is>
          <t>Medium</t>
        </is>
      </c>
      <c r="S36" s="121" t="inlineStr">
        <is>
          <t>2 system integrations required. Systems: Agentforce Quoting Agent. Some custom development needed. Standard connectors and APIs available.</t>
        </is>
      </c>
      <c r="T36" s="121" t="inlineStr">
        <is>
          <t>Medium</t>
        </is>
      </c>
      <c r="U36" s="121" t="inlineStr">
        <is>
          <t>NEEDS REVIEW: Accesses credit approval STATUS (not raw credit data). Depends on whether status includes limit values or just pass/fail. Verify with Data Governance.</t>
        </is>
      </c>
      <c r="V36" s="121" t="inlineStr">
        <is>
          <t>Medium</t>
        </is>
      </c>
      <c r="W36" s="149" t="inlineStr">
        <is>
          <t>RELATED SAP SOLUTION: SAP Sales Order Agent - AVAILABLE in SAP Joule catalog, NOT DEPLOYED at Siemens. (SOURCE: SAP Joule Feature List - external). SPECIFIC DIFFERENTIATOR: Conversion Readiness validates SALESFORCE Opportunity data BEFORE sending to SAP (required fields, approvals, pricing). SAP Sales Order Agent processes orders AFTER they reach SAP. This agent is the SFDC-side pre-validation layer. Checked: AF (12), DI (10), SI (9) - NONE address SFDC-side order readiness validation.</t>
        </is>
      </c>
      <c r="X36" s="149" t="inlineStr">
        <is>
          <t>High</t>
        </is>
      </c>
      <c r="Y36" s="149" t="inlineStr">
        <is>
          <t>Addresses critical pain: [Missed Business Opportunities]. Specific issue: 'Quotes converted before prerequisites complete...'. Quantified impact in source data.</t>
        </is>
      </c>
      <c r="Z36" s="149" t="inlineStr">
        <is>
          <t>High</t>
        </is>
      </c>
      <c r="AA36" s="149" t="inlineStr">
        <is>
          <t>Strong business impact based on operational efficiency gains. Addresses [Missed Business Opportunities] pain point with measurable ROI.</t>
        </is>
      </c>
      <c r="AB36" s="149" t="inlineStr">
        <is>
          <t>Medium</t>
        </is>
      </c>
      <c r="AC36" s="149" t="inlineStr">
        <is>
          <t>Standard timeline: 3-6 months. 2 system integrations. Key systems: Agentforce Quoting Agent. Some custom development included.</t>
        </is>
      </c>
    </row>
    <row r="37" ht="72.75" customHeight="1" s="113">
      <c r="A37" s="155" t="inlineStr">
        <is>
          <t>Quote Conversion Agent</t>
        </is>
      </c>
      <c r="B37" s="155" t="inlineStr">
        <is>
          <t>Conversion Acceleration Sub-Agent [RENAMED]</t>
        </is>
      </c>
      <c r="C37" s="122" t="inlineStr">
        <is>
          <t>Accelerates conversion of approved quotes to orders by tracking: Has customer issued PO? Is contract signed? Are delivery dates confirmed? Alerts sales reps to follow up on specific blockers. Escalates stalled conversions after defined thresholds.</t>
        </is>
      </c>
      <c r="D37" s="122" t="inlineStr">
        <is>
          <t>[Missed Business Opportunities] Approved quotes sit 30-60 days unconverted. No systematic follow-up on prerequisites (PO, contract, delivery confirmation). Sales reps juggle 50+ open quotes. Conversion windows expire. Deals lost to competitors.</t>
        </is>
      </c>
      <c r="E37" s="122" t="inlineStr">
        <is>
          <t>Qualifies - Salesforce Agentforce Sales</t>
        </is>
      </c>
      <c r="F37" s="122" t="inlineStr">
        <is>
          <t>RATIONALE:
TECHNOLOGY: OOB: Agentforce Sales Agent + Salesforce Sales Cloud
AI QUALIFICATION: YES
- Agentforce Sales Agent for automated follow-up
- AI-generated follow-up tasks based on blocker analysis
- Intelligent escalation with context
- Conversion probability scoring suggests ML component
SIEMENS CRITERIA ASSESSMENT:
- Business Value: HIGH (reduces 30-60 day stalls)
- Cross-business Applicability: HIGH (all quote conversions)
- Technical Complexity: LOW (OOB Agentforce + Sales Cloud)
- ACP Compliance: Level 1 (OOB Salesforce)
- Alignment with Initiatives: HIGH (sales productivity, AI)
- User Impact: HIGH (systematic conversion follow-up)
PLATFORM FIT: Salesforce Agentforce Sales Agent
- AI-driven follow-up automation
- Blocker-specific communications
- Escalation with analysis
CONCLUSION: Genuine AI use case with OOB Agentforce Sales Agent. Addresses conversion velocity challenge.</t>
        </is>
      </c>
      <c r="G37" s="122" t="inlineStr">
        <is>
          <t>OOB: Agentforce Sales Agent for automated follow-up, Salesforce Sales Cloud engagement tracking | CONFIG: Define follow-up cadences, blocker detection rules, escalation triggers</t>
        </is>
      </c>
      <c r="H37" s="122" t="inlineStr">
        <is>
          <t>Agentforce Sales Agent + Sales Cloud (OOB). Configure follow-up rules.</t>
        </is>
      </c>
      <c r="I37" s="122" t="inlineStr">
        <is>
          <t>Quote status (Approved - Pending Conversion); Customer engagement data; Sales rep activity log; Conversion blockers from Sub-Agent 33; Historical conversion patterns</t>
        </is>
      </c>
      <c r="J37" s="122" t="inlineStr">
        <is>
          <t>Triggered when quote enters 'Approved - Pending Conversion'. Agentforce Sales Agent monitors conversion blockers (missing PO, unsigned contract). Generates follow-up tasks with specific actions. Tracks customer engagement with conversion documents. Escalates stalled conversions (&gt;30 days) to management with blocker analysis.</t>
        </is>
      </c>
      <c r="K37" s="122" t="inlineStr">
        <is>
          <t>Conversion follow-up tasks with priority; Blocker-specific communications; Conversion probability score; Escalation notifications; Conversion timeline prediction</t>
        </is>
      </c>
      <c r="L37" s="122" t="inlineStr">
        <is>
          <t>Conversion rate improvement; Average conversion cycle time; Blocker resolution rate; Deals lost due to conversion delays</t>
        </is>
      </c>
      <c r="M37" s="147" t="n"/>
      <c r="N37" s="121" t="inlineStr">
        <is>
          <t>High</t>
        </is>
      </c>
      <c r="O37" s="121" t="inlineStr">
        <is>
          <t>Strong business impact based on operational efficiency gains. Addresses [Missed Business Opportunities] pain point with measurable ROI.</t>
        </is>
      </c>
      <c r="P37" s="121" t="inlineStr">
        <is>
          <t>High</t>
        </is>
      </c>
      <c r="Q37" s="121" t="inlineStr">
        <is>
          <t>Applicable across divisions with customization. Core functionality in "Quote Conversion Agent" serves common business processes.</t>
        </is>
      </c>
      <c r="R37" s="121" t="inlineStr">
        <is>
          <t>Medium</t>
        </is>
      </c>
      <c r="S37" s="121" t="inlineStr">
        <is>
          <t>2 system integrations required. Systems: Agentforce Sales Agent. Standard connectors and APIs available.</t>
        </is>
      </c>
      <c r="T37" s="121" t="inlineStr">
        <is>
          <t>High</t>
        </is>
      </c>
      <c r="U37" s="121" t="inlineStr">
        <is>
          <t>Standard CRM data. ACP Level 2 sufficient for implementation.</t>
        </is>
      </c>
      <c r="V37" s="121" t="inlineStr">
        <is>
          <t>Medium</t>
        </is>
      </c>
      <c r="W37" s="149" t="inlineStr">
        <is>
          <t>RELATED SAP SOLUTION: SAP Sales Order Agent - AVAILABLE in SAP Joule catalog, NOT DEPLOYED at Siemens. (SOURCE: SAP Joule Feature List - external). SPECIFIC DIFFERENTIATOR: Conversion Acceleration identifies and resolves blockers on SALESFORCE side (missing approvals, incomplete configs, stalled opportunities). SAP agent handles SAP-side processing. Checked: AF (12), DI (10), SI (9) - NONE address SFDC conversion acceleration.</t>
        </is>
      </c>
      <c r="X37" s="149" t="inlineStr">
        <is>
          <t>High</t>
        </is>
      </c>
      <c r="Y37" s="149" t="inlineStr">
        <is>
          <t>Addresses critical pain: [Missed Business Opportunities]. Specific issue: 'Approved quotes sit 30-60 days unconverted...'. Quantified impact in source data.</t>
        </is>
      </c>
      <c r="Z37" s="149" t="inlineStr">
        <is>
          <t>High</t>
        </is>
      </c>
      <c r="AA37" s="149" t="inlineStr">
        <is>
          <t>Strong business impact based on operational efficiency gains. Addresses [Missed Business Opportunities] pain point with measurable ROI.</t>
        </is>
      </c>
      <c r="AB37" s="149" t="inlineStr">
        <is>
          <t>Low</t>
        </is>
      </c>
      <c r="AC37" s="149" t="inlineStr">
        <is>
          <t>Quick win: ≤3 months. Primarily OOB configuration. Systems: Agentforce Sales Agent. Minimal dependencies.</t>
        </is>
      </c>
    </row>
    <row r="38" ht="72.75" customHeight="1" s="113">
      <c r="A38" s="155" t="inlineStr">
        <is>
          <t>Quote Conversion Agent</t>
        </is>
      </c>
      <c r="B38" s="155" t="inlineStr">
        <is>
          <t>Order Data Validation Sub-Agent [RENAMED]</t>
        </is>
      </c>
      <c r="C38" s="122" t="inlineStr">
        <is>
          <t>Validates quote data meets SAP sales order requirements before conversion: all mandatory SAP fields populated (sold-to, ship-to, bill-to parties; material numbers; delivery plant; payment terms). Prevents conversion failures from missing data.</t>
        </is>
      </c>
      <c r="D38" s="122" t="inlineStr">
        <is>
          <t>[Manual, Time-Intensive Processes] SAP order creation requires manual data validation. Missing sold-to party, invalid material codes, incomplete addresses. 1-2 hours cleanup per failed conversion. 20% first-attempt failure rate. Manual, time-intensive rework.</t>
        </is>
      </c>
      <c r="E38" s="122" t="inlineStr">
        <is>
          <t>Does not qualify as AI Agent</t>
        </is>
      </c>
      <c r="F38" s="122" t="inlineStr">
        <is>
          <t>RATIONALE:
TECHNOLOGY: OOB: Salesforce CPQ + SAP SD + CUSTOM: MuleSoft validation layer
AI QUALIFICATION: NO
- Field validation is deterministic (field present/absent, format valid/invalid)
- SAP master data validation is database lookup
- Mapping rules are explicit transformations
- Error handling follows defined logic
- No learning, prediction, or NLP
SIEMENS CRITERIA ASSESSMENT:
- Business Value: HIGH (reduces 20% first-attempt failure rate)
- Cross-business Applicability: HIGH (all SAP orders)
- Technical Complexity: MEDIUM (cross-system integration)
- ACP Compliance: Level 2 (custom MuleSoft integration)
- Alignment with Initiatives: HIGH (integration platform)
- User Impact: HIGH (prevents 1-2 hour cleanup per failure)
CONCLUSION: Critical validation but rule-based. MuleSoft pre-validation against SAP master data is integration work, not AI.</t>
        </is>
      </c>
      <c r="G38" s="122" t="inlineStr">
        <is>
          <t>OOB: Salesforce CPQ field validation, SAP SD order validation | CUSTOM: MuleSoft pre-conversion validation against SAP master data (sold-to party exists, material valid, plant active)</t>
        </is>
      </c>
      <c r="H38" s="122" t="inlineStr">
        <is>
          <t>CPQ + SAP SD (OOB). CUSTOM MuleSoft validation layer.</t>
        </is>
      </c>
      <c r="I38" s="122" t="inlineStr">
        <is>
          <t>Quote data from Salesforce CPQ; SAP customer master (sold-to, ship-to, bill-to); SAP material master; SAP plant data; Payment terms</t>
        </is>
      </c>
      <c r="J38" s="122" t="inlineStr">
        <is>
          <t>Triggered before conversion attempt. Salesforce CPQ validates quote-side fields. Custom MuleSoft layer validates against SAP in real-time: sold-to party exists in SAP, material codes valid, plant active, payment terms match. Prevents conversion failures from data mismatches.</t>
        </is>
      </c>
      <c r="K38" s="122" t="inlineStr">
        <is>
          <t>Validation results (Pass/Fail per field); SAP validation errors; Auto-correction suggestions; Manual fix requirements; Validation timestamp</t>
        </is>
      </c>
      <c r="L38" s="122" t="inlineStr">
        <is>
          <t>First-time conversion success rate (target: &gt;95%); Validation time; Data quality score; Failed conversion reduction</t>
        </is>
      </c>
      <c r="M38" s="147" t="n"/>
      <c r="N38" s="121" t="inlineStr">
        <is>
          <t>High</t>
        </is>
      </c>
      <c r="O38" s="121" t="inlineStr">
        <is>
          <t>Strong business impact with quantified targets: &gt;95%. Addresses [Manual, Time-Intensive Processes] pain point with measurable ROI.</t>
        </is>
      </c>
      <c r="P38" s="121" t="inlineStr">
        <is>
          <t>High</t>
        </is>
      </c>
      <c r="Q38" s="121" t="inlineStr">
        <is>
          <t>Applicable across divisions with customization. Core functionality in "Quote Conversion Agent" serves common business processes.</t>
        </is>
      </c>
      <c r="R38" s="121" t="inlineStr">
        <is>
          <t>Medium</t>
        </is>
      </c>
      <c r="S38" s="121" t="inlineStr">
        <is>
          <t>2 system integrations required. Systems: SAP SD, MuleSoft. Some custom development needed. Standard connectors and APIs available.</t>
        </is>
      </c>
      <c r="T38" s="121" t="inlineStr">
        <is>
          <t>Medium</t>
        </is>
      </c>
      <c r="U38" s="121" t="inlineStr">
        <is>
          <t>NEEDS REVIEW: Accesses SAP payment terms from customer master. Payment TERMS (Net 30, etc.) are typically Level 2, but verify if actual AR data is included.</t>
        </is>
      </c>
      <c r="V38" s="121" t="inlineStr">
        <is>
          <t>Medium</t>
        </is>
      </c>
      <c r="W38" s="149" t="inlineStr">
        <is>
          <t>RELATED SAP SOLUTION: SAP Sales Order Agent - AVAILABLE in SAP Joule catalog, NOT DEPLOYED at Siemens. (SOURCE: SAP Joule Feature List - external). SPECIFIC DIFFERENTIATOR: Order Data Validation ensures SALESFORCE order data meets SAP submission requirements (valid customer IDs, material numbers, pricing conditions) BEFORE API call. SAP agent validates within SAP. This is the INTEGRATION validation layer. Checked: AF (12), DI (10), SI (9) - NONE address SFDC-to-SAP data validation.</t>
        </is>
      </c>
      <c r="X38" s="149" t="inlineStr">
        <is>
          <t>High</t>
        </is>
      </c>
      <c r="Y38" s="149" t="inlineStr">
        <is>
          <t>Addresses critical pain: [Manual, Time-Intensive Processes]. Specific issue: 'SAP order creation requires manual data validation...'. Quantified impact in source data.</t>
        </is>
      </c>
      <c r="Z38" s="149" t="inlineStr">
        <is>
          <t>High</t>
        </is>
      </c>
      <c r="AA38" s="149" t="inlineStr">
        <is>
          <t>Strong business impact with quantified targets: &gt;95%. Addresses [Manual, Time-Intensive Processes] pain point with measurable ROI.</t>
        </is>
      </c>
      <c r="AB38" s="149" t="inlineStr">
        <is>
          <t>High</t>
        </is>
      </c>
      <c r="AC38" s="149" t="inlineStr">
        <is>
          <t>Extended timeline: &gt;6 months. Complex factors: SAP integration, custom development. Plan for phased rollout.</t>
        </is>
      </c>
    </row>
    <row r="39" ht="72.75" customFormat="1" customHeight="1" s="72">
      <c r="A39" s="147" t="inlineStr">
        <is>
          <t>Quote Conversion Agent</t>
        </is>
      </c>
      <c r="B39" s="147" t="inlineStr">
        <is>
          <t>Inventory &amp; Delivery Feasibility Sub-Agent</t>
        </is>
      </c>
      <c r="C39" s="122" t="inlineStr">
        <is>
          <t>Checks real-time inventory availability in SAP for quoted products and validates whether requested delivery dates are achievable given production schedules and shipping lead times. Suggests alternative dates or substitute products when requested dates cannot be met.</t>
        </is>
      </c>
      <c r="D39" s="122" t="inlineStr">
        <is>
          <t>[Insufficient Self-Service Capabilities] Corporate accounts cannot self-serve on delivery status. Call sales rep asking 'where is my order?' Sales rep logs into SAP to check. No self-service portal. High cost-to-serve. Operational inefficiency for status inquiries.</t>
        </is>
      </c>
      <c r="E39" s="122" t="inlineStr">
        <is>
          <t>Qualifies - Salesforce Agentforce Service</t>
        </is>
      </c>
      <c r="F39" s="122" t="inlineStr">
        <is>
          <t>RATIONALE:
TECHNOLOGY: OOB: SAP S/4HANA ATP + CUSTOM: MuleSoft integration + Agentforce Service Agent
AI QUALIFICATION: YES (for self-service component)
- Agentforce Service Agent mentioned for customer self-service
- Customers can ask about delivery status conversationally
- AI-powered inquiry handling
NOTE: Core ATP check is OOB SAP functionality (not AI). AI value is in customer-facing Agentforce Service Agent.
SIEMENS CRITERIA ASSESSMENT:
- Business Value: HIGH (enables customer self-service)
- Cross-business Applicability: HIGH (all delivery inquiries)
- Technical Complexity: MEDIUM (OOB + MuleSoft integration)
- ACP Compliance: Level 2 (OOB + integration)
- Alignment with Initiatives: HIGH (customer experience, AI)
- User Impact: HIGH (reduces cost-to-serve)
PLATFORM FIT: Salesforce Agentforce Service Agent
- Customer self-service for delivery inquiries
- Conversational status updates
- Reduces sales rep burden
CONCLUSION: Qualifies through Agentforce Service Agent for self-service. SAP ATP and MuleSoft are supporting infrastructure.</t>
        </is>
      </c>
      <c r="G39" s="122" t="inlineStr">
        <is>
          <t>OOB: SAP S/4HANA ATP Check | CUSTOM: MuleSoft real-time ATP integration from Salesforce | AGENTFORCE: Service Agent enables customer self-service delivery inquiries</t>
        </is>
      </c>
      <c r="H39" s="122" t="inlineStr">
        <is>
          <t>SAP ATP (OOB). MuleSoft integration (CUSTOM). Agentforce Service Agent (OOB).</t>
        </is>
      </c>
      <c r="I39" s="122" t="inlineStr">
        <is>
          <t>Quote line items; SAP S/4HANA inventory (ATP); Production schedules; Shipping lead times; Customer requested delivery dates</t>
        </is>
      </c>
      <c r="J39" s="122" t="inlineStr">
        <is>
          <t>Triggered during conversion validation. Custom MuleSoft integration calls SAP ATP in real-time. Validates requested delivery dates against inventory availability and production capacity. Agentforce Service Agent enables customer self-service delivery inquiries. Suggests alternatives for unavailable items or dates.</t>
        </is>
      </c>
      <c r="K39" s="122" t="inlineStr">
        <is>
          <t>Feasibility per line item (Available/Partial/Backorder); Confirmed delivery dates; Alternative dates if requested unavailable; Substitute product suggestions; ATP snapshot</t>
        </is>
      </c>
      <c r="L39" s="122" t="inlineStr">
        <is>
          <t>Delivery promise accuracy; On-time delivery rate; Backorder rate; Customer self-service adoption; Expediting cost reduction</t>
        </is>
      </c>
      <c r="M39" s="147" t="n"/>
      <c r="N39" s="157" t="inlineStr">
        <is>
          <t>High</t>
        </is>
      </c>
      <c r="O39" s="157" t="inlineStr">
        <is>
          <t>Strong business impact based on operational efficiency gains. Addresses [Insufficient Self-Service Capabilities] pain point with measurable ROI.</t>
        </is>
      </c>
      <c r="P39" s="157" t="inlineStr">
        <is>
          <t>High</t>
        </is>
      </c>
      <c r="Q39" s="157" t="inlineStr">
        <is>
          <t>Applicable across divisions with customization. Core functionality in "Quote Conversion Agent" serves common business processes.</t>
        </is>
      </c>
      <c r="R39" s="157" t="inlineStr">
        <is>
          <t>Medium</t>
        </is>
      </c>
      <c r="S39" s="157" t="inlineStr">
        <is>
          <t>1 system integration required. Systems: SAP ATP, MuleSoft, Agentforce Service Agent. Some custom development needed. Standard connectors and APIs available.</t>
        </is>
      </c>
      <c r="T39" s="157" t="inlineStr">
        <is>
          <t>High</t>
        </is>
      </c>
      <c r="U39" s="157" t="inlineStr">
        <is>
          <t>Standard CRM data. ACP Level 2 sufficient for implementation.</t>
        </is>
      </c>
      <c r="V39" s="157" t="inlineStr">
        <is>
          <t>Low</t>
        </is>
      </c>
      <c r="W39" s="158" t="inlineStr">
        <is>
          <t>STATUS VALIDATED - NO COMPETING INITIATIVE: Inventory/delivery feasibility. Checked: AF (12), DI (10), SI (9), SAP AI (16) - none address real-time ATP from CRM. DI #7 Commerce Agent is e-commerce focused, not B2B ATP lookup. RECOMMENDATION: Proceed - unique integration capability.</t>
        </is>
      </c>
      <c r="X39" s="158" t="inlineStr">
        <is>
          <t>Medium</t>
        </is>
      </c>
      <c r="Y39" s="158" t="inlineStr">
        <is>
          <t>Addresses [Insufficient Self-Service Capabilities] pain point. 'Corporate accounts cannot self-serve on delivery status...'. Moderate user impact.</t>
        </is>
      </c>
      <c r="Z39" s="158" t="inlineStr">
        <is>
          <t>High</t>
        </is>
      </c>
      <c r="AA39" s="158" t="inlineStr">
        <is>
          <t>Strong business impact based on operational efficiency gains. Addresses [Insufficient Self-Service Capabilities] pain point with measurable ROI.</t>
        </is>
      </c>
      <c r="AB39" s="158" t="inlineStr">
        <is>
          <t>High</t>
        </is>
      </c>
      <c r="AC39" s="158" t="inlineStr">
        <is>
          <t>Extended timeline: &gt;6 months. Complex factors: SAP integration, custom development. Plan for phased rollout.</t>
        </is>
      </c>
    </row>
    <row r="40" ht="72.75" customHeight="1" s="113">
      <c r="A40" s="147" t="inlineStr">
        <is>
          <t>Quote Conversion Agent</t>
        </is>
      </c>
      <c r="B40" s="147" t="inlineStr">
        <is>
          <t>Order Creation Orchestration Sub-Agent</t>
        </is>
      </c>
      <c r="C40" s="122" t="inlineStr">
        <is>
          <t>Transforms Salesforce quote data into SAP sales order format: maps Salesforce product codes to SAP material numbers, converts pricing to SAP condition records, creates SAP order via API. Handles errors and retries for transient failures.</t>
        </is>
      </c>
      <c r="D40" s="122" t="inlineStr">
        <is>
          <t>[Manual, Time-Intensive Processes] Order entry manual: re-keying 50+ line items from quote to SAP. Looking up material numbers. Entering pricing conditions. 2-4 hours per complex order. 5% error rate. Time-intensive, error-prone process.</t>
        </is>
      </c>
      <c r="E40" s="122" t="inlineStr">
        <is>
          <t>Does not qualify as AI Agent</t>
        </is>
      </c>
      <c r="F40" s="122" t="inlineStr">
        <is>
          <t>RATIONALE:
TECHNOLOGY: CUSTOM: MuleSoft quote-to-order transformation + SAP SD API
AI QUALIFICATION: NO
- Data transformation follows explicit mapping rules
- Product code → material number is dictionary lookup
- Pricing → condition records is format conversion
- Error handling uses defined retry logic
- No learning, prediction, or NLP
SIEMENS CRITERIA ASSESSMENT:
- Business Value: HIGH (eliminates 2-4 hours manual entry)
- Cross-business Applicability: HIGH (all orders)
- Technical Complexity: MEDIUM (complex transformation logic)
- ACP Compliance: Level 2 (custom integration)
- Alignment with Initiatives: HIGH (order automation, integration)
- User Impact: HIGH (eliminates 5% error rate)
CONCLUSION: Essential automation but NOT AI. Quote-to-order transformation is deterministic mapping. Rename to "Order Creation Integration Service".</t>
        </is>
      </c>
      <c r="G40" s="122" t="inlineStr">
        <is>
          <t>CUSTOM: Quote-to-Order transformation. No OOB product maps SF quotes to SAP orders. Build MuleSoft integration: SF product codes → SAP materials, SF pricing → SAP conditions, error handling.</t>
        </is>
      </c>
      <c r="H40" s="122" t="inlineStr">
        <is>
          <t>CUSTOM. MuleSoft transformation + SAP SD API.</t>
        </is>
      </c>
      <c r="I40" s="122" t="inlineStr">
        <is>
          <t>Validated quote data from Sub-Agent 35; Salesforce-to-SAP field mapping rules; SAP SD order API; Error handling rules</t>
        </is>
      </c>
      <c r="J40" s="122" t="inlineStr">
        <is>
          <t>Triggered when all validations pass. Custom MuleSoft transformation maps SF quote to SAP order: product codes → material numbers, SF pricing → SAP condition records. Creates order via SAP SD API. Handles errors with retry logic for transient failures. Logs all transformations for troubleshooting.</t>
        </is>
      </c>
      <c r="K40" s="122" t="inlineStr">
        <is>
          <t>SAP order number; Order creation status; Order confirmation document; Error log if failed; Transformation audit trail</t>
        </is>
      </c>
      <c r="L40" s="122" t="inlineStr">
        <is>
          <t>Conversion success rate (target: &gt;98%); Conversion time (seconds vs. hours manual); Data transformation accuracy; Error rate by type</t>
        </is>
      </c>
      <c r="M40" s="147" t="n"/>
      <c r="N40" s="121" t="inlineStr">
        <is>
          <t>High</t>
        </is>
      </c>
      <c r="O40" s="121" t="inlineStr">
        <is>
          <t>Strong business impact with quantified targets: &gt;98%. Addresses [Manual, Time-Intensive Processes] pain point with measurable ROI.</t>
        </is>
      </c>
      <c r="P40" s="121" t="inlineStr">
        <is>
          <t>High</t>
        </is>
      </c>
      <c r="Q40" s="121" t="inlineStr">
        <is>
          <t>Applicable across divisions with customization. Core functionality in "Quote Conversion Agent" serves common business processes.</t>
        </is>
      </c>
      <c r="R40" s="121" t="inlineStr">
        <is>
          <t>Medium</t>
        </is>
      </c>
      <c r="S40" s="121" t="inlineStr">
        <is>
          <t>2 system integrations required. Systems: SAP SD API, MuleSoft. Some custom development needed. Standard connectors and APIs available.</t>
        </is>
      </c>
      <c r="T40" s="121" t="inlineStr">
        <is>
          <t>High</t>
        </is>
      </c>
      <c r="U40" s="121" t="inlineStr">
        <is>
          <t>Standard CRM data. ACP Level 2 sufficient for implementation.</t>
        </is>
      </c>
      <c r="V40" s="121" t="inlineStr">
        <is>
          <t>Medium</t>
        </is>
      </c>
      <c r="W40" s="149" t="inlineStr">
        <is>
          <t>RELATED SAP SOLUTION: SAP Sales Order Agent - AVAILABLE in SAP Joule catalog, NOT DEPLOYED at Siemens. (SOURCE: SAP Joule Feature List - external). SPECIFIC DIFFERENTIATOR: Order Creation Orchestration manages the INTEGRATION WORKFLOW: SFDC Opportunity → API call → SAP order creation → response handling. SAP agent processes orders within SAP. This agent owns the CROSS-SYSTEM orchestration. Checked: AF (12), DI (10), SI (9) - NONE address SFDC-SAP integration orchestration.</t>
        </is>
      </c>
      <c r="X40" s="149" t="inlineStr">
        <is>
          <t>High</t>
        </is>
      </c>
      <c r="Y40" s="149" t="inlineStr">
        <is>
          <t>Addresses critical pain: [Manual, Time-Intensive Processes]. Specific issue: 'Order entry manual: re-keying 50+ line items from quote to SAP...'. Quantified impact in source data.</t>
        </is>
      </c>
      <c r="Z40" s="149" t="inlineStr">
        <is>
          <t>High</t>
        </is>
      </c>
      <c r="AA40" s="149" t="inlineStr">
        <is>
          <t>Strong business impact with quantified targets: &gt;98%. Addresses [Manual, Time-Intensive Processes] pain point with measurable ROI.</t>
        </is>
      </c>
      <c r="AB40" s="149" t="inlineStr">
        <is>
          <t>High</t>
        </is>
      </c>
      <c r="AC40" s="149" t="inlineStr">
        <is>
          <t>Extended timeline: &gt;6 months. Complex factors: SAP integration, custom development. Plan for phased rollout.</t>
        </is>
      </c>
    </row>
    <row r="41" ht="72.75" customHeight="1" s="113">
      <c r="A41" s="147" t="inlineStr">
        <is>
          <t>Quote Conversion Agent</t>
        </is>
      </c>
      <c r="B41" s="147" t="inlineStr">
        <is>
          <t>Post-Conversion Sync Sub-Agent</t>
        </is>
      </c>
      <c r="C41" s="122" t="inlineStr">
        <is>
          <t>After SAP order creation, synchronizes order data back to Salesforce: order number, order status, delivery tracking, invoice status. Ensures sales reps see current order status in CRM without logging into SAP.</t>
        </is>
      </c>
      <c r="D41" s="122" t="inlineStr">
        <is>
          <t>[Data Fragmentation &amp; Siloed Information] After SAP order created, Salesforce not updated. Order status, delivery dates, invoice status siloed in SAP. Sales rep cannot answer customer questions without switching systems. Data fragmented between CRM and ERP.</t>
        </is>
      </c>
      <c r="E41" s="122" t="inlineStr">
        <is>
          <t>Does not qualify as AI Agent</t>
        </is>
      </c>
      <c r="F41" s="122" t="inlineStr">
        <is>
          <t>RATIONALE:
TECHNOLOGY: CUSTOM: MuleSoft bi-directional SAP-Salesforce sync
AI QUALIFICATION: NO
- Event-driven data synchronization
- IDoc/BAPI processing is standard integration
- Status updates are data replication
- No learning, prediction, or NLP
SIEMENS CRITERIA ASSESSMENT:
- Business Value: HIGH (single pane of glass in CRM)
- Cross-business Applicability: HIGH (all SAP orders)
- Technical Complexity: MEDIUM (real-time event integration)
- ACP Compliance: Level 2 (custom integration)
- Alignment with Initiatives: HIGH (360° customer view)
- User Impact: HIGH (eliminates system switching)
CONCLUSION: Critical for CRM visibility but standard integration. Data sync is not AI. Rename to "Order Status Sync Service".</t>
        </is>
      </c>
      <c r="G41" s="122" t="inlineStr">
        <is>
          <t>CUSTOM: Bi-directional SAP-Salesforce sync. No OOB product syncs order status in real-time. Build MuleSoft integration: SAP IDoc/BAPI → Salesforce Platform Events for status updates.</t>
        </is>
      </c>
      <c r="H41" s="122" t="inlineStr">
        <is>
          <t>CUSTOM. MuleSoft bi-directional sync.</t>
        </is>
      </c>
      <c r="I41" s="122" t="inlineStr">
        <is>
          <t>Created SAP order; Salesforce opportunity/quote; SAP order status changes; Delivery tracking; Invoice status</t>
        </is>
      </c>
      <c r="J41" s="122" t="inlineStr">
        <is>
          <t>Triggered after successful order creation. Custom MuleSoft bi-directional sync: pushes SAP order number to Salesforce, subscribes to SAP status events (IDoc/BAPI), updates Salesforce in real-time with order status, delivery tracking, invoice status. Sales rep sees current status in CRM without SAP access.</t>
        </is>
      </c>
      <c r="K41" s="122" t="inlineStr">
        <is>
          <t>Salesforce record updates (order number, status); Order status timeline; Delivery tracking link; Invoice status; Sync error alerts</t>
        </is>
      </c>
      <c r="L41" s="122" t="inlineStr">
        <is>
          <t>Sync accuracy (100% target); Status update latency (&lt;5 min target); Sales rep SAP login reduction; Customer inquiry resolution time</t>
        </is>
      </c>
      <c r="M41" s="147" t="n"/>
      <c r="N41" s="121" t="inlineStr">
        <is>
          <t>High</t>
        </is>
      </c>
      <c r="O41" s="121" t="inlineStr">
        <is>
          <t>Strong business impact with quantified targets: 100%. Addresses [Data Fragmentation &amp; Siloed Information] pain point with measurable ROI.</t>
        </is>
      </c>
      <c r="P41" s="121" t="inlineStr">
        <is>
          <t>High</t>
        </is>
      </c>
      <c r="Q41" s="121" t="inlineStr">
        <is>
          <t>Applicable across divisions with customization. Core functionality in "Quote Conversion Agent" serves common business processes.</t>
        </is>
      </c>
      <c r="R41" s="121" t="inlineStr">
        <is>
          <t>Medium</t>
        </is>
      </c>
      <c r="S41" s="121" t="inlineStr">
        <is>
          <t>1 system integration required. Systems: MuleSoft. Some custom development needed. Standard connectors and APIs available.</t>
        </is>
      </c>
      <c r="T41" s="121" t="inlineStr">
        <is>
          <t>High</t>
        </is>
      </c>
      <c r="U41" s="121" t="inlineStr">
        <is>
          <t>Standard CRM data. ACP Level 2 sufficient for implementation.</t>
        </is>
      </c>
      <c r="V41" s="121" t="inlineStr">
        <is>
          <t>Medium</t>
        </is>
      </c>
      <c r="W41" s="149" t="inlineStr">
        <is>
          <t>RELATED SAP SOLUTION: SAP Sales Order Agent - AVAILABLE in SAP Joule catalog, NOT DEPLOYED at Siemens. (SOURCE: SAP Joule Feature List - external). SPECIFIC DIFFERENTIATOR: Post-Conversion Sync updates SALESFORCE with order status FROM SAP (order number, delivery dates, shipment status). SAP agent doesn't write back to SFDC. Checked: AF (12), DI (10), SI (9) - NONE address SAP-to-SFDC sync.</t>
        </is>
      </c>
      <c r="X41" s="149" t="inlineStr">
        <is>
          <t>Medium</t>
        </is>
      </c>
      <c r="Y41" s="149" t="inlineStr">
        <is>
          <t>Addresses [Data Fragmentation &amp; Siloed Information] pain point. 'After SAP order created, Salesforce not updated...'. Moderate user impact.</t>
        </is>
      </c>
      <c r="Z41" s="149" t="inlineStr">
        <is>
          <t>High</t>
        </is>
      </c>
      <c r="AA41" s="149" t="inlineStr">
        <is>
          <t>Strong business impact with quantified targets: 100%. Addresses [Data Fragmentation &amp; Siloed Information] pain point with measurable ROI.</t>
        </is>
      </c>
      <c r="AB41" s="149" t="inlineStr">
        <is>
          <t>High</t>
        </is>
      </c>
      <c r="AC41" s="149" t="inlineStr">
        <is>
          <t>Extended timeline: &gt;6 months. Complex factors: custom development. Plan for phased rollout.</t>
        </is>
      </c>
    </row>
    <row r="42" ht="72.75" customHeight="1" s="113">
      <c r="A42" s="147" t="inlineStr">
        <is>
          <t>Quote Conversion Agent</t>
        </is>
      </c>
      <c r="B42" s="147" t="inlineStr">
        <is>
          <t>Conversion Exception Resolution Sub-Agent</t>
        </is>
      </c>
      <c r="C42" s="122" t="inlineStr">
        <is>
          <t>Handles order creation failures: analyzes error codes, attempts auto-fix for known issues (e.g., missing sold-to party → create customer master), routes complex failures to operations team with diagnostic context.</t>
        </is>
      </c>
      <c r="D42" s="122" t="inlineStr">
        <is>
          <t>[Manual, Time-Intensive Processes] Conversion failures require manual investigation. Same root causes repeat (missing customer master, invalid material). No automated retry. No systematic exception tracking. 10+ hours per week on manual resolution.</t>
        </is>
      </c>
      <c r="E42" s="122" t="inlineStr">
        <is>
          <t>Does not qualify as AI Agent</t>
        </is>
      </c>
      <c r="F42" s="122" t="inlineStr">
        <is>
          <t>RATIONALE:
TECHNOLOGY: OOB: Salesforce Flow + CUSTOM: Error analysis and auto-remediation
AI QUALIFICATION: NO
- Error code analysis uses lookup table
- Auto-remediation follows predefined rules (missing customer → create master)
- Exception routing is rule-based
- Historical success rates are statistics, not ML
- No learning or prediction
POTENTIAL AI ENHANCEMENT:
Could add ML to:
- Predict which exceptions will auto-resolve vs. need human
- Learn new remediation patterns from operations team actions
- Prioritize exception queue by resolution likelihood
SIEMENS CRITERIA ASSESSMENT:
- Business Value: HIGH (saves 10+ hours/week resolution)
- Cross-business Applicability: HIGH (all order exceptions)
- Technical Complexity: MEDIUM (custom remediation logic)
- ACP Compliance: Level 2 (custom development)
- Alignment with Initiatives: MEDIUM (automation, but custom)
- User Impact: HIGH (faster exception resolution)
CONCLUSION: Rule-based exception handling, not AI. Auto-remediation for known issues is pattern matching against error codes.</t>
        </is>
      </c>
      <c r="G42" s="122" t="inlineStr">
        <is>
          <t>OOB: Salesforce Flow exception queue management | CUSTOM: SAP error code analysis, auto-remediation for known issues (create missing customer master, fix material code), retry logic</t>
        </is>
      </c>
      <c r="H42" s="122" t="inlineStr">
        <is>
          <t>Salesforce Flow (OOB). CUSTOM error analysis and auto-fix.</t>
        </is>
      </c>
      <c r="I42" s="122" t="inlineStr">
        <is>
          <t>Conversion error codes from SAP; Error patterns database; Resolution rules; Historical resolution success rates</t>
        </is>
      </c>
      <c r="J42" s="122" t="inlineStr">
        <is>
          <t>Triggered on conversion failures. Salesforce Flow captures exception. Custom error analysis identifies root cause (missing customer master, invalid material, credit block). Attempts auto-remediation for known issues (e.g., create missing customer master in SAP). Routes complex exceptions to operations team with context.</t>
        </is>
      </c>
      <c r="K42" s="122" t="inlineStr">
        <is>
          <t>Resolution actions taken (auto-fixed/escalated); Error diagnosis; Retry schedule; Operations ticket with context; Resolution recommendations</t>
        </is>
      </c>
      <c r="L42" s="122" t="inlineStr">
        <is>
          <t>Auto-resolution rate (target: &gt;60% of known errors); Mean time to resolution; Repeat error reduction; Operations team time saved</t>
        </is>
      </c>
      <c r="M42" s="147" t="n"/>
      <c r="N42" s="121" t="inlineStr">
        <is>
          <t>High</t>
        </is>
      </c>
      <c r="O42" s="121" t="inlineStr">
        <is>
          <t>Strong business impact with quantified targets: &gt;60%. Addresses [Manual, Time-Intensive Processes] pain point with measurable ROI.</t>
        </is>
      </c>
      <c r="P42" s="121" t="inlineStr">
        <is>
          <t>High</t>
        </is>
      </c>
      <c r="Q42" s="121" t="inlineStr">
        <is>
          <t>Applicable across divisions with customization. Core functionality in "Quote Conversion Agent" serves common business processes.</t>
        </is>
      </c>
      <c r="R42" s="121" t="inlineStr">
        <is>
          <t>Medium</t>
        </is>
      </c>
      <c r="S42" s="121" t="inlineStr">
        <is>
          <t>1 system integration required. Systems: multiple platforms. Some custom development needed. Standard connectors and APIs available.</t>
        </is>
      </c>
      <c r="T42" s="121" t="inlineStr">
        <is>
          <t>High</t>
        </is>
      </c>
      <c r="U42" s="121" t="inlineStr">
        <is>
          <t>Standard CRM data. ACP Level 2 sufficient for implementation.</t>
        </is>
      </c>
      <c r="V42" s="121" t="inlineStr">
        <is>
          <t>Medium</t>
        </is>
      </c>
      <c r="W42" s="149" t="inlineStr">
        <is>
          <t>RELATED SAP SOLUTION: SAP Sales Order Agent - AVAILABLE in SAP Joule catalog, NOT DEPLOYED at Siemens. (SOURCE: SAP Joule Feature List - external). SPECIFIC DIFFERENTIATOR: Conversion Exception Resolution handles INTEGRATION FAILURES (API timeouts, mapping errors, validation rejections) with retry logic and user notification. SAP agent handles SAP-internal errors only. Checked: AF (12), DI (10), SI (9) - NONE address integration exception handling.</t>
        </is>
      </c>
      <c r="X42" s="149" t="inlineStr">
        <is>
          <t>High</t>
        </is>
      </c>
      <c r="Y42" s="149" t="inlineStr">
        <is>
          <t>Addresses critical pain: [Manual, Time-Intensive Processes]. Specific issue: 'Conversion failures require manual investigation...'. Quantified impact in source data.</t>
        </is>
      </c>
      <c r="Z42" s="149" t="inlineStr">
        <is>
          <t>High</t>
        </is>
      </c>
      <c r="AA42" s="149" t="inlineStr">
        <is>
          <t>Strong business impact with quantified targets: &gt;60%. Addresses [Manual, Time-Intensive Processes] pain point with measurable ROI.</t>
        </is>
      </c>
      <c r="AB42" s="149" t="inlineStr">
        <is>
          <t>High</t>
        </is>
      </c>
      <c r="AC42" s="149" t="inlineStr">
        <is>
          <t>Extended timeline: &gt;6 months. Complex factors: custom development. Plan for phased rollout.</t>
        </is>
      </c>
    </row>
    <row r="43" ht="215.25" customHeight="1" s="113">
      <c r="A43" s="159" t="inlineStr">
        <is>
          <t>Sales Enablement Agent</t>
        </is>
      </c>
      <c r="B43" s="160" t="inlineStr">
        <is>
          <t>Account Intelligence Summary Sub-Agent</t>
        </is>
      </c>
      <c r="C43" s="160" t="inlineStr">
        <is>
          <t>Aggregates customer data from CRM, ERP, and support systems to generate executive account summaries for sales reps. Uses NLP to analyze interactions, identify stakeholders, highlight risks (churn signals, payment issues), and recommend talking points for upcoming meetings.</t>
        </is>
      </c>
      <c r="D43" s="160" t="inlineStr">
        <is>
          <t>[Information Overload &amp; Decision Paralysis] Sales reps spend 2-3 hours researching accounts before meetings. Data scattered across 6+ systems (CRM, ERP, support, email). No unified customer view. Reps miss critical signals buried in data. Meeting prep quality varies by rep experience.</t>
        </is>
      </c>
      <c r="E43" s="161" t="inlineStr">
        <is>
          <t>Qualifies - Salesforce Agentforce Sales</t>
        </is>
      </c>
      <c r="F43" s="161" t="inlineStr">
        <is>
          <t>RATIONALE:
TECHNOLOGY: OOB: Salesforce Agentforce
AI QUALIFICATION: YES
- NLP to summarize interactions and sentiment analysis
- ML to identify churn signals and opportunity triggers
- Natural language generation for executive summaries
- Continuous learning from rep feedback
- Pattern recognition for stakeholder relationships
SIEMENS CRITERIA ASSESSMENT:
- Business Value: HIGH (saves 2-3 hours per account research)
- Cross-business Applicability: HIGH (all sales reps across divisions)
- Technical Complexity: LOW (OOB Agentforce)
- ACP Compliance: Level 1 (OOB Salesforce platform)
- Alignment with Initiatives: HIGH (Salesforce Einstein, sales productivity)
- User Impact: HIGH (better meeting preparation, consistent quality)
PLATFORM FIT: Salesforce Agentforce Sales Agent
- Pre-built AI capabilities for account intelligence
- NLP and sentiment analysis included
- No custom AI development required
CONCLUSION: Strong AI use case with OOB Agentforce. All described capabilities (NLP summarization, risk detection, stakeholder analysis) are core Agentforce Sales functions.</t>
        </is>
      </c>
      <c r="G43" s="160" t="inlineStr">
        <is>
          <t>OOB: Salesforce Agentforce Employee Agent
CONFIG: Data Cloud customer 360 integration, CRM/ERP/Support data unification
CUSTOM: Account health scoring model (if ML-based)
AGENTFORCE: Employee Agent with Sales context</t>
        </is>
      </c>
      <c r="H43" s="160" t="inlineStr">
        <is>
          <t>Salesforce CRM (Sales Cloud) + Data Cloud + ERP integration (SAP S/4HANA)</t>
        </is>
      </c>
      <c r="I43" s="160" t="inlineStr">
        <is>
          <t>Customer master data (SF CRM, SAP MDG); Opportunity and quote history (SF CRM); Order and delivery history (SAP S/4HANA); Payment history and credit status (SAP S/4HANA); Support tickets and product issues (Service Cloud); Customer communications (Email, Slack); Product usage data and adoption metrics; Stakeholder mapping and org chart data; Industry news and company announcements; Competitive win/loss intelligence</t>
        </is>
      </c>
      <c r="J43" s="160" t="inlineStr">
        <is>
          <t>Triggered on-demand by sales reps (pre-call, pre-meeting) or scheduled for regular account reviews. Aggregates data from multiple systems via APIs and creates a unified view of the customer relationship. Applies natural language processing to summarize recent interactions, support issues, and sentiment trends. Identifies key stakeholders, decision-makers, and relationship strength. Highlights account health indicators (revenue trends, product adoption, support satisfaction, payment behavior). Detects risks (churn signals, competitive threats, unresolved issues) and opportunities (upsell potential, contract renewal timing, expansion triggers). Generates executive summary in natural language tailored to the sales rep's upcoming activity (call prep, QBR, proposal development). Continuously learns from rep feedback on summary usefulness.</t>
        </is>
      </c>
      <c r="K43" s="160" t="inlineStr">
        <is>
          <t>Executive account summary (2-3 paragraphs); Account health score with trend indicators; Recent activity timeline (orders, issues, communications); Key stakeholder map with relationship strength; Risk alerts (churn signals, payment issues, satisfaction drops); Opportunity highlights (upsell potential, whitespace analysis); Recommended talking points and questions for next interaction; Competitive intelligence relevant to this account; Action items requiring follow-up</t>
        </is>
      </c>
      <c r="L43" s="160" t="inlineStr">
        <is>
          <t>Time saved on account research: &gt;30 min/rep/week
Meeting preparation time: &lt;10 min (from &gt;30 min)
Sales rep satisfaction with insights: &gt;4.0/5.0
Meeting effectiveness score: &gt;80%
Early risk detection rate: &gt;70% identified before escalation
Upsell/cross-sell accuracy: &gt;60% conversion on recommendations</t>
        </is>
      </c>
      <c r="M43" s="160" t="inlineStr">
        <is>
          <t xml:space="preserve"> </t>
        </is>
      </c>
      <c r="N43" s="121" t="inlineStr">
        <is>
          <t>High</t>
        </is>
      </c>
      <c r="O43" s="121" t="inlineStr">
        <is>
          <t>Strong business impact with quantified targets: &gt;80%, &gt;70%, &gt;60%. Addresses [Information Overload &amp; Decision Paralysis] pain point with measurable ROI.</t>
        </is>
      </c>
      <c r="P43" s="121" t="inlineStr">
        <is>
          <t>High</t>
        </is>
      </c>
      <c r="Q43" s="121" t="inlineStr">
        <is>
          <t>Sales productivity tools benefit all customer-facing roles. Account intelligence, deal status, and coaching apply across DI, SI, and MO.</t>
        </is>
      </c>
      <c r="R43" s="121" t="inlineStr">
        <is>
          <t>High</t>
        </is>
      </c>
      <c r="S43" s="121" t="inlineStr">
        <is>
          <t>Complex implementation: 3 systems (SAP S/4HANA, Salesforce CRM ). SAP integration requires middleware and data mapping. Custom ML model development and training required. Estimated significant technical effort.</t>
        </is>
      </c>
      <c r="T43" s="121" t="inlineStr">
        <is>
          <t>Medium</t>
        </is>
      </c>
      <c r="U43" s="121" t="inlineStr">
        <is>
          <t>SAP ERP integration present. Verify ACP level requirements with data governance.</t>
        </is>
      </c>
      <c r="V43" s="121" t="inlineStr">
        <is>
          <t>High</t>
        </is>
      </c>
      <c r="W43" s="149" t="inlineStr">
        <is>
          <t>DIRECT CONFLICT: SieSales Employee Agent is IN IMPLEMENTATION (AF Tab Row 7). Function: 'Support everyone in SieSales to summarise records' (SOURCE: AF Tab Row 7, Col 7). User base: 19K users (SOURCE: AF Tab Row 7, Col 10). Account summary = exact function of existing initiative. RECOMMENDATION: This capability is already being built - coordinate with Anjali Jain (owner per AF tab).</t>
        </is>
      </c>
      <c r="X43" s="149" t="inlineStr">
        <is>
          <t>High</t>
        </is>
      </c>
      <c r="Y43" s="149" t="inlineStr">
        <is>
          <t>Addresses critical pain: [Information Overload &amp; Decision Paralysis]. Specific issue: 'Sales reps spend 2-3 hours researching accounts before meetings...'. Quantified impact in source data.</t>
        </is>
      </c>
      <c r="Z43" s="149" t="inlineStr">
        <is>
          <t>High</t>
        </is>
      </c>
      <c r="AA43" s="149" t="inlineStr">
        <is>
          <t>Strong business impact with quantified targets: &gt;80%, &gt;70%, &gt;60%. Addresses [Information Overload &amp; Decision Paralysis] pain point with measurable ROI.</t>
        </is>
      </c>
      <c r="AB43" s="149" t="inlineStr">
        <is>
          <t>High</t>
        </is>
      </c>
      <c r="AC43" s="149" t="inlineStr">
        <is>
          <t>Extended timeline: &gt;6 months. Complex factors: SAP integration, custom development, ML model training. Plan for phased rollout.</t>
        </is>
      </c>
    </row>
    <row r="44" ht="246.75" customHeight="1" s="113">
      <c r="A44" s="162" t="inlineStr">
        <is>
          <t>Sales Enablement Agent</t>
        </is>
      </c>
      <c r="B44" s="147" t="inlineStr">
        <is>
          <t>Sales Communication Generation Sub-Agent</t>
        </is>
      </c>
      <c r="C44" s="147" t="inlineStr">
        <is>
          <t>Generates personalized sales emails using LLM fine-tuned on successful sales communications. Analyzes customer context, deal stage, and communication objectives to draft quote follow-ups, proposals, meeting requests, and objection handling emails with multiple variants.</t>
        </is>
      </c>
      <c r="D44" s="147" t="inlineStr">
        <is>
          <t>[Manual, Time-Intensive Processes] Sales reps spend 45-60 minutes per complex email. Inconsistent quality across team. Best practices not shared. Response rates vary widely (15% to 45%). Reps reinvent the wheel for common scenarios instead of leveraging proven templates.</t>
        </is>
      </c>
      <c r="E44" s="154" t="inlineStr">
        <is>
          <t>Qualifies - Salesforce Agentforce Sales</t>
        </is>
      </c>
      <c r="F44" s="154" t="inlineStr">
        <is>
          <t>RATIONALE:
TECHNOLOGY: OOB: Salesforce Agentforce
AI QUALIFICATION: YES
- Large language model for email generation
- Personalization based on customer context
- Learning from email performance (opens, responses)
- Tone adaptation for different scenarios
- Multiple variant generation
SIEMENS CRITERIA ASSESSMENT:
- Business Value: HIGH (email composition time reduction)
- Cross-business Applicability: HIGH (all sales teams)
- Technical Complexity: LOW (OOB Agentforce)
- ACP Compliance: Level 1 (OOB Salesforce platform)
- Alignment with Initiatives: HIGH (generative AI, sales productivity)
- User Impact: HIGH (consistent, high-quality communications)
PLATFORM FIT: Salesforce Agentforce Sales Agent
- Generative AI for sales communication
- Context-aware email drafting
- Performance-based learning
CONCLUSION: Genuine AI use case leveraging Agentforce's generative AI capabilities. Email generation with personalization and learning is core LLM functionality.</t>
        </is>
      </c>
      <c r="G44" s="147" t="inlineStr">
        <is>
          <t>OOB: Salesforce Agentforce Employee Agent
CONFIG: LLM fine-tuning on Siemens sales communication templates
CUSTOM: Email template library, tone/style customization
AGENTFORCE: Employee Agent with Email Generation actions</t>
        </is>
      </c>
      <c r="H44" s="147" t="inlineStr">
        <is>
          <t>Salesforce CRM (Sales Cloud) + Email Integration (Outlook/Gmail)</t>
        </is>
      </c>
      <c r="I44" s="147" t="inlineStr">
        <is>
          <t>Customer profile and communication history (SF CRM); Deal context (quote details, stage, concerns, competitors); Email templates and best practice library; Previous successful communication patterns (won deals); Customer sentiment and engagement preferences; Product information and value propositions; Industry-specific messaging guidelines; Regulatory and compliance requirements for communications; Sales rep writing style and preferences; Meeting notes and action items from recent interactions</t>
        </is>
      </c>
      <c r="J44" s="147" t="inlineStr">
        <is>
          <t>Triggered when sales rep initiates email composition for specific scenarios (quote follow-up, proposal submission, meeting request, objection handling, contract negotiation, status update). Analyzes the context: customer relationship stage, recent interactions, outstanding issues, deal characteristics, and communication objective. Generates personalized email content using large language models fine-tuned on successful sales communications. Adapts tone based on customer seniority, industry, relationship maturity, and cultural context. Incorporates relevant data points (quote details, pricing, delivery dates) automatically from CRM. Suggests optimal subject lines based on open rate data. Provides multiple variants with different approaches (consultative, urgent, value-focused). Ensures compliance with industry regulations and company policies. Learns from rep edits and email performance (opens, responses, conversions) to improve future generations.</t>
        </is>
      </c>
      <c r="K44" s="147" t="inlineStr">
        <is>
          <t>Personalized email draft with multiple variants; Optimized subject line suggestions with predicted open rates; Tone and style recommendations based on context; Suggested call-to-action and next steps; Attachment recommendations (proposals, case studies, ROI calculators); Optimal send time prediction; Compliance check results (regulatory, legal, brand); Follow-up reminder schedule; A/B testing suggestions for important communications</t>
        </is>
      </c>
      <c r="L44" s="147" t="inlineStr">
        <is>
          <t>Email composition time: &lt;5 min (from &gt;20 min)
Email open rate: &gt;35% (industry avg: 20%)
Email response rate: &gt;15%
Meeting acceptance rate: &gt;40%
Rep adoption rate: &gt;70% of team using AI-generated content
Time saved on email writing: &gt;2 hours/rep/week</t>
        </is>
      </c>
      <c r="M44" s="147" t="n"/>
      <c r="N44" s="121" t="inlineStr">
        <is>
          <t>High</t>
        </is>
      </c>
      <c r="O44" s="121" t="inlineStr">
        <is>
          <t>Strong business impact with quantified targets: &gt;35%,  20%, &gt;15%, &gt;2 hours. Addresses [Manual, Time-Intensive Processes] pain point with measurable ROI.</t>
        </is>
      </c>
      <c r="P44" s="121" t="inlineStr">
        <is>
          <t>High</t>
        </is>
      </c>
      <c r="Q44" s="121" t="inlineStr">
        <is>
          <t>Sales productivity tools benefit all customer-facing roles. Account intelligence, deal status, and coaching apply across DI, SI, and MO.</t>
        </is>
      </c>
      <c r="R44" s="121" t="inlineStr">
        <is>
          <t>Medium</t>
        </is>
      </c>
      <c r="S44" s="121" t="inlineStr">
        <is>
          <t>2 system integrations required. Systems: Salesforce CRM . Some custom development needed. Standard connectors and APIs available.</t>
        </is>
      </c>
      <c r="T44" s="121" t="inlineStr">
        <is>
          <t>High</t>
        </is>
      </c>
      <c r="U44" s="121" t="inlineStr">
        <is>
          <t>Standard CRM data. ACP Level 2 sufficient for implementation.</t>
        </is>
      </c>
      <c r="V44" s="121" t="inlineStr">
        <is>
          <t>Low</t>
        </is>
      </c>
      <c r="W44" s="149" t="inlineStr">
        <is>
          <t>STATUS VALIDATED - NO COMPETING INITIATIVE: Sales email generation. Checked: AF (12) - none address email drafting. Checked: DI #8 (Sales Development Agent) - SDR lead development, not email drafting. Checked: SI (9), SAP AI (16) - none address email generation. EXPANSION RISK: Microsoft Copilot includes email drafting - monitor M365 deployment. RECOMMENDATION: Proceed - fills genuine gap with CRM-integrated workflow.</t>
        </is>
      </c>
      <c r="X44" s="149" t="inlineStr">
        <is>
          <t>High</t>
        </is>
      </c>
      <c r="Y44" s="149" t="inlineStr">
        <is>
          <t>Addresses critical pain: [Manual, Time-Intensive Processes]. Specific issue: 'Sales reps spend 45-60 minutes per complex email...'. Quantified impact in source data.</t>
        </is>
      </c>
      <c r="Z44" s="149" t="inlineStr">
        <is>
          <t>High</t>
        </is>
      </c>
      <c r="AA44" s="149" t="inlineStr">
        <is>
          <t>Strong business impact with quantified targets: &gt;35%,  20%, &gt;15%, &gt;2 hours. Addresses [Manual, Time-Intensive Processes] pain point with measurable ROI.</t>
        </is>
      </c>
      <c r="AB44" s="149" t="inlineStr">
        <is>
          <t>Medium</t>
        </is>
      </c>
      <c r="AC44" s="149" t="inlineStr">
        <is>
          <t>Standard timeline: 3-6 months. 2 system integrations. Key systems: Salesforce CRM . Some custom development included.</t>
        </is>
      </c>
    </row>
    <row r="45" ht="231" customHeight="1" s="113">
      <c r="A45" s="162" t="inlineStr">
        <is>
          <t>Sales Enablement Agent</t>
        </is>
      </c>
      <c r="B45" s="147" t="inlineStr">
        <is>
          <t>Deal Status Intelligence Sub-Agent</t>
        </is>
      </c>
      <c r="C45" s="147" t="inlineStr">
        <is>
          <t>Provides unified deal visibility across quote-to-cash process by aggregating status from CPQ, approvals, SAP orders, production, shipping, and payments. Uses NLG to generate executive summaries, identify bottlenecks, and predict completion timelines.</t>
        </is>
      </c>
      <c r="D45" s="147" t="inlineStr">
        <is>
          <t>[Data Fragmentation &amp; Siloed Information] Deal status scattered across 5+ systems (CPQ, ERP, logistics, payments). Sales reps cannot answer customer questions without switching systems. 'Where is my order?' inquiries consume 3-5 hours per rep per week. No single source of truth.</t>
        </is>
      </c>
      <c r="E45" s="154" t="inlineStr">
        <is>
          <t>Qualifies - Salesforce Agentforce Sales</t>
        </is>
      </c>
      <c r="F45" s="154" t="inlineStr">
        <is>
          <t>RATIONALE:
TECHNOLOGY: OOB: Salesforce Agentforce
AI QUALIFICATION: YES
- Natural language generation for status summaries
- ML for bottleneck detection and prediction
- Timeline prediction based on historical patterns
⚠️ IMPLEMENTATION CAVEAT: The PRIMARY effort in this agent is INTEGRATION, not AI.
- Quote-to-cash spans 5+ systems (CPQ, ERP, logistics, payments)
- 80% of complexity is data aggregation and API orchestration
- AI adds executive summary layer but depends on integration foundation
- Without multi-system integration, AI component has no data to summarize
EFFORT BREAKDOWN ESTIMATE:
- Multi-system integration: 70-80% of implementation effort
- AI/NLG summarization: 10-15% of implementation effort
- Dashboard/UX: 10-15% of implementation effort
TECHNOLOGY STACK:
- Agentforce Employee Agent (NLP for summaries - AI)
- Multi-system API orchestration (integration - NOT AI)
- Status aggregation logic (data pipeline - NOT AI)</t>
        </is>
      </c>
      <c r="G45" s="147" t="inlineStr">
        <is>
          <t>OOB: Salesforce Agentforce Employee Agent
CONFIG: Quote-to-cash process integration, multi-system status aggregation
CUSTOM: Deal visibility dashboard, proactive alert rules
AGENTFORCE: Employee Agent with Order Management context</t>
        </is>
      </c>
      <c r="H45" s="147" t="inlineStr">
        <is>
          <t>Salesforce CRM + CPQ + Billing + Order Management + SAP ERP</t>
        </is>
      </c>
      <c r="I45" s="147" t="inlineStr">
        <is>
          <t>Quote data and status (SF CPQ); Approval workflow status (SF CRM); SAP order data (SAP S/4HANA); Production and fulfillment status (SAP); Shipping and delivery tracking (Logistics systems); Payment and invoicing status (SAP FI); Customer acceptance and signatures (DocuSign, Adobe Sign); Support tickets related to the deal (Service Cloud); Customer engagement data (quote views, portal activity); Historical timeline of all deal activities</t>
        </is>
      </c>
      <c r="J45" s="147" t="inlineStr">
        <is>
          <t>Triggered on-demand when sales rep views an opportunity, quote, or order, or scheduled for proactive status updates. Orchestrates API calls to multiple systems (SF CPQ, SF CRM, SAP S/4HANA, logistics, payment) to gather current status from each stage of the quote-to-cash process. Applies business logic to determine overall deal health and progress. Creates a unified timeline view showing all activities, approvals, order creation, production milestones, shipping events, and payment status. Uses natural language generation to create executive summary of where the deal stands. Identifies bottlenecks, delays, or risks (e.g., stuck in approval, production delayed, payment overdue). Highlights required actions and next steps for the sales rep. Provides customer-facing status that can be shared externally. Maintains historical snapshots for trend analysis and predictive insights on deal velocity.</t>
        </is>
      </c>
      <c r="K45" s="147" t="inlineStr">
        <is>
          <t>Unified deal status dashboard with visual timeline; Executive summary in natural language (current status, next steps); Stage-by-stage progress tracker (Quote → Approval → Order → Production → Delivery → Payment); Blocker and risk alerts with recommended actions; Expected completion dates for each pending stage; Customer-facing status summary (shareable); Historical activity log with all events and changes; Proactive notifications when status changes or issues arise; Comparison to similar deals (velocity benchmarking)</t>
        </is>
      </c>
      <c r="L45" s="147" t="inlineStr">
        <is>
          <t>Time saved on status inquiries: &gt;15 min/rep/week
'Where is my order?' inquiry reduction: &gt;50%
Deal cycle time predictability: ±3 days accuracy
Proactive issue identification: &gt;60% before customer complaint
Sales rep satisfaction: &gt;4.2/5.0
Forecast accuracy improvement: &gt;15%</t>
        </is>
      </c>
      <c r="M45" s="147" t="n"/>
      <c r="N45" s="121" t="inlineStr">
        <is>
          <t>High</t>
        </is>
      </c>
      <c r="O45" s="121" t="inlineStr">
        <is>
          <t>Strong business impact with quantified targets: &gt;50%, &gt;60%, &gt;15%, 3 days. Addresses [Data Fragmentation &amp; Siloed Information] pain point with measurable ROI.</t>
        </is>
      </c>
      <c r="P45" s="121" t="inlineStr">
        <is>
          <t>High</t>
        </is>
      </c>
      <c r="Q45" s="121" t="inlineStr">
        <is>
          <t>Sales productivity tools benefit all customer-facing roles. Account intelligence, deal status, and coaching apply across DI, SI, and MO.</t>
        </is>
      </c>
      <c r="R45" s="121" t="inlineStr">
        <is>
          <t>High</t>
        </is>
      </c>
      <c r="S45" s="121" t="inlineStr">
        <is>
          <t>Complex implementation: 5 systems (SAP ERP, Salesforce CRM ). SAP integration requires middleware and data mapping. Estimated significant technical effort.</t>
        </is>
      </c>
      <c r="T45" s="121" t="inlineStr">
        <is>
          <t>Medium</t>
        </is>
      </c>
      <c r="U45" s="121" t="inlineStr">
        <is>
          <t>SAP ERP integration present. Verify ACP level requirements with data governance.</t>
        </is>
      </c>
      <c r="V45" s="121" t="inlineStr">
        <is>
          <t>Medium</t>
        </is>
      </c>
      <c r="W45" s="149" t="inlineStr">
        <is>
          <t>RELATED INITIATIVE: Multiple sources provide partial deal status. Customer 360 (AF Tab Row 7): Provides account/opp summaries. SAP Sales Order Agent: Provides SAP order status. SPECIFIC DIFFERENTIATOR: Deal Status Intelligence aggregates ACROSS SYSTEMS - SFDC pipeline + SAP order status + email engagement + meeting activity into unified view. No single initiative provides this cross-system aggregation. RECOMMENDATION: Unique cross-system aggregation - proceed, but coordinate data sources with Customer 360 team.</t>
        </is>
      </c>
      <c r="X45" s="149" t="inlineStr">
        <is>
          <t>High</t>
        </is>
      </c>
      <c r="Y45" s="149" t="inlineStr">
        <is>
          <t>Addresses critical pain: [Data Fragmentation &amp; Siloed Information]. Specific issue: 'Deal status scattered across 5+ systems (CPQ, ERP, logistics, payments)...'. Quantified impact in source data.</t>
        </is>
      </c>
      <c r="Z45" s="149" t="inlineStr">
        <is>
          <t>High</t>
        </is>
      </c>
      <c r="AA45" s="149" t="inlineStr">
        <is>
          <t>Strong business impact with quantified targets: &gt;50%, &gt;60%, &gt;15%, 3 days. Addresses [Data Fragmentation &amp; Siloed Information] pain point with measurable ROI.</t>
        </is>
      </c>
      <c r="AB45" s="149" t="inlineStr">
        <is>
          <t>High</t>
        </is>
      </c>
      <c r="AC45" s="149" t="inlineStr">
        <is>
          <t>Extended timeline: &gt;6 months. Complex factors: SAP integration, custom development, 5 systems. Plan for phased rollout.</t>
        </is>
      </c>
    </row>
    <row r="46" ht="261.75" customHeight="1" s="113">
      <c r="A46" s="162" t="inlineStr">
        <is>
          <t>Revenue Cloud Agent</t>
        </is>
      </c>
      <c r="B46" s="147" t="inlineStr">
        <is>
          <t>Subscription Management Sub-Agent</t>
        </is>
      </c>
      <c r="C46" s="147" t="inlineStr">
        <is>
          <t>Manages B2B subscription lifecycle including renewals, upgrades, and churn prevention. Uses ML to predict renewal likelihood and churn risk, generates optimized renewal quotes, and automates routine subscription modifications within defined parameters.</t>
        </is>
      </c>
      <c r="D46" s="147" t="inlineStr">
        <is>
          <t>[Missed Business Opportunities] Renewals approached reactively with only 30-day notice. No proactive churn detection. 15-20% of renewals lost due to late engagement. Upsell opportunities missed because usage patterns not analyzed. Manual subscription changes take 3-5 days.</t>
        </is>
      </c>
      <c r="E46" s="154" t="inlineStr">
        <is>
          <t>Qualifies - Salesforce Agentforce Service</t>
        </is>
      </c>
      <c r="F46" s="154" t="inlineStr">
        <is>
          <t>RATIONALE:
TECHNOLOGY: OOB: Salesforce Agentforce + Revenue Cloud
AI QUALIFICATION: YES
- ML models for renewal prediction and churn scoring
- Usage pattern analysis for upsell recommendations
- Intelligent subscription lifecycle management
ML MODEL SPECIFICATION (Churn Prediction):
├── Algorithm: Gradient Boosting (XGBoost) or Random Forest
├── Training Data: 24+ months historical subscription data
├── Features:
│   ├── Usage metrics (consumption trends, feature adoption)
│   ├── Engagement signals (login frequency, support tickets)
│   ├── Billing behavior (payment delays, disputes)
│   ├── Contract attributes (term, size, renewal date)
│   └── Customer health score components
├── Target: Binary churn (0/1) within 90-day window
├── Validation: 80/20 train/test split, AUC-ROC &gt; 0.75
├── Inference: Real-time scoring on subscription events
└── Retraining: Monthly with new subscription outcomes
TECHNOLOGY STACK:
- Revenue Cloud + Billing (OOB)
- Agentforce Employee Agent (NLP for recommendations)
- Data Cloud (usage analytics aggregation)
- Custom ML model (churn prediction - CUSTOM)</t>
        </is>
      </c>
      <c r="G46" s="147" t="inlineStr">
        <is>
          <t>OOB: Salesforce Revenue Cloud + Agentforce Employee Agent
CONFIG: Subscription lifecycle automation, renewal workflows
CUSTOM: Churn prediction ML model (XGBoost/RF, trained on 24+ months data, AUC &gt; 0.75), usage-based upsell recommendations
AGENTFORCE: Employee Agent (NLP for subscription guidance)
ML MODEL: Gradient Boosting classifier trained on subscription history, usage patterns, engagement signals, and billing behavior. Features: usage consumption trend, support ticket sentiment, payment delays, contract size, renewal timeline. Retrains monthly.</t>
        </is>
      </c>
      <c r="H46" s="147" t="inlineStr">
        <is>
          <t>Salesforce Revenue Cloud + Billing + Data Cloud (usage analytics)</t>
        </is>
      </c>
      <c r="I46" s="147" t="inlineStr">
        <is>
          <t>Subscription data (SF Revenue Cloud); Customer usage and consumption data; Contract terms and renewal dates; Customer engagement and product adoption metrics; Pricing and discount rules; Customer health score (CSM data); Historical renewal and churn patterns; Competitive intelligence and market pricing; Customer support ticket trends; Payment history and credit status</t>
        </is>
      </c>
      <c r="J46" s="147" t="inlineStr">
        <is>
          <t>Triggered by subscription lifecycle events (approaching renewal, usage threshold breach, contract anniversary, customer-initiated change request) or runs scheduled jobs for proactive management. Monitors subscription health by analyzing usage patterns, engagement metrics, and support interactions. Predicts renewal likelihood using ML models trained on historical churn data. For renewals, generates optimized renewal quotes considering usage trends, market pricing, competitive positioning, and customer health. For upgrades/downgrades, validates requested changes against usage patterns and recommends optimal tier. Automates routine subscription modifications (seat additions, usage adjustments) within defined parameters. For at-risk renewals, triggers proactive outreach with retention offers. Manages subscription amendments by validating pricing, proration calculations, and contract term impacts. Handles subscription consolidation for customers with multiple contracts. Ensures revenue recognition alignment with subscription changes.</t>
        </is>
      </c>
      <c r="K46" s="147" t="inlineStr">
        <is>
          <t>Renewal recommendations with optimized pricing; Churn risk alerts with retention strategies; Upsell/downsell recommendations based on usage; Automated subscription modifications (within policy); Prorated pricing calculations for mid-term changes; Contract consolidation suggestions; Renewal forecast with probability scores; Customer engagement playbooks for renewals; Revenue impact analysis for subscription changes</t>
        </is>
      </c>
      <c r="L46" s="147" t="inlineStr">
        <is>
          <t>Subscription renewal rate: &gt;90%
Net revenue retention (NRR): &gt;105%
Churn rate: &lt;5% annual
Subscription change processing: &lt;24 hours
Upsell conversion from recommendations: &gt;25%
Customer lifetime value: &gt;15% improvement
Revenue leakage: &lt;0.5% of subscription revenue</t>
        </is>
      </c>
      <c r="M46" s="147" t="n"/>
      <c r="N46" s="121" t="inlineStr">
        <is>
          <t>High</t>
        </is>
      </c>
      <c r="O46" s="121" t="inlineStr">
        <is>
          <t>Strong business impact with quantified targets: &gt;90%, &gt;105%, &lt;5%, &lt;24 hours. Addresses [Missed Business Opportunities] pain point with measurable ROI.</t>
        </is>
      </c>
      <c r="P46" s="121" t="inlineStr">
        <is>
          <t>High</t>
        </is>
      </c>
      <c r="Q46" s="121" t="inlineStr">
        <is>
          <t>Subscription and revenue management is increasingly relevant across all divisions as Siemens expands recurring revenue models.</t>
        </is>
      </c>
      <c r="R46" s="121" t="inlineStr">
        <is>
          <t>High</t>
        </is>
      </c>
      <c r="S46" s="121" t="inlineStr">
        <is>
          <t>Complex implementation: 3 systems (Salesforce Revenue Cloud). Custom ML model development and training required. Estimated significant technical effort.</t>
        </is>
      </c>
      <c r="T46" s="121" t="inlineStr">
        <is>
          <t>High</t>
        </is>
      </c>
      <c r="U46" s="121" t="inlineStr">
        <is>
          <t>Standard CRM data. ACP Level 2 sufficient for implementation.</t>
        </is>
      </c>
      <c r="V46" s="121" t="inlineStr">
        <is>
          <t>Low</t>
        </is>
      </c>
      <c r="W46" s="149" t="inlineStr">
        <is>
          <t>STATUS VALIDATED - NO COMPETING INITIATIVE: Subscription management. Checked: AF (12), DI (10), SI (9), SAP AI (16) - none address subscription lifecycle. DI #5 Service Agent handles service requests, not subscription renewals. EXPANSION RISK: SF Revenue Cloud includes subscription features - monitor roadmap. RECOMMENDATION: Proceed - addresses genuine gap.</t>
        </is>
      </c>
      <c r="X46" s="149" t="inlineStr">
        <is>
          <t>High</t>
        </is>
      </c>
      <c r="Y46" s="149" t="inlineStr">
        <is>
          <t>Addresses critical pain: [Missed Business Opportunities]. Specific issue: 'Renewals approached reactively with only 30-day notice...'. Quantified impact in source data.</t>
        </is>
      </c>
      <c r="Z46" s="149" t="inlineStr">
        <is>
          <t>High</t>
        </is>
      </c>
      <c r="AA46" s="149" t="inlineStr">
        <is>
          <t>Strong business impact with quantified targets: &gt;90%, &gt;105%, &lt;5%, &lt;24 hours. Addresses [Missed Business Opportunities] pain point with measurable ROI.</t>
        </is>
      </c>
      <c r="AB46" s="149" t="inlineStr">
        <is>
          <t>High</t>
        </is>
      </c>
      <c r="AC46" s="149" t="inlineStr">
        <is>
          <t>Extended timeline: &gt;6 months. Complex factors: custom development, ML model training. Plan for phased rollout.</t>
        </is>
      </c>
    </row>
    <row r="47" ht="292.5" customHeight="1" s="113">
      <c r="A47" s="162" t="inlineStr">
        <is>
          <t>Revenue Cloud Agent</t>
        </is>
      </c>
      <c r="B47" s="147" t="inlineStr">
        <is>
          <t>Revenue Recognition Sub-Agent</t>
        </is>
      </c>
      <c r="C47" s="147" t="inlineStr">
        <is>
          <t>Automates ASC 606/IFRS 15 compliant revenue recognition by analyzing contracts to identify performance obligations, allocating transaction prices, and creating recognition schedules. Handles complex scenarios including contract modifications and variable consideration.</t>
        </is>
      </c>
      <c r="D47" s="147" t="inlineStr">
        <is>
          <t>[Manual, Time-Intensive Processes] Revenue recognition done manually in spreadsheets. Compliance errors discovered during audits. 5-7 days to close books each month due to manual rev rec processing. Inconsistent treatment of similar contracts across regions.</t>
        </is>
      </c>
      <c r="E47" s="154" t="inlineStr">
        <is>
          <t>Does not qualify as AI Agent</t>
        </is>
      </c>
      <c r="F47" s="154" t="inlineStr">
        <is>
          <t>RATIONALE:
TECHNOLOGY: OOB: Salesforce Revenue Cloud
AI QUALIFICATION: NO
- Performance obligation identification follows explicit contract terms
- Transaction price allocation uses configured SSP and allocation methods
- Revenue schedules follow deterministic ASC 606/IFRS 15 rules
- Contract modification handling is rules-based (cumulative catch-up vs. prospective)
- No learning, prediction, or NLP involved
SIEMENS CRITERIA ASSESSMENT:
- Business Value: HIGH (audit compliance, faster close)
- Cross-business Applicability: HIGH (all revenue-generating contracts)
- Technical Complexity: MEDIUM (complex accounting rules)
- ACP Compliance: Level 1 (OOB Revenue Cloud)
- Alignment with Initiatives: HIGH (finance automation)
- User Impact: HIGH (eliminates manual rev rec)
CONCLUSION: Critical for compliance but purely rule-based. Revenue Cloud automates deterministic accounting rules. No AI required - just well-implemented ASC 606/IFRS 15 logic. Rename to 'Revenue Recognition Automation Service'.</t>
        </is>
      </c>
      <c r="G47" s="147" t="inlineStr">
        <is>
          <t>OOB: Salesforce Revenue Cloud
CONFIG: ASC 606/IFRS 15 rule engine, contract term analysis
CUSTOM: Revenue allocation automation, compliance validation
AGENTFORCE: Employee Agent with Finance context</t>
        </is>
      </c>
      <c r="H47" s="147" t="inlineStr">
        <is>
          <t>Salesforce Revenue Cloud + Billing + SAP Finance integration</t>
        </is>
      </c>
      <c r="I47" s="147" t="inlineStr">
        <is>
          <t>Contract terms and revenue schedules (SF Revenue Cloud); Order and fulfillment data (SAP S/4HANA); Service delivery milestones and acceptance; Accounting standards and policies (ASC 606, IFRS 15); Performance obligations and deliverables; Stand-alone selling prices (SSP); Contract modifications and amendments; Variable consideration and constraints; Multi-element arrangement rules; Revenue allocation policies</t>
        </is>
      </c>
      <c r="J47" s="147" t="inlineStr">
        <is>
          <t>Triggered when new orders are created, contracts are signed, or delivery milestones are achieved. Analyzes contract terms to identify distinct performance obligations (products, services, subscriptions). Determines transaction price including variable consideration, discounts, and financing components. Allocates transaction price to performance obligations based on stand-alone selling prices using waterfall or residual approaches. Applies revenue recognition rules based on performance obligation type (point in time vs. over time). Creates revenue schedules considering contract start dates, service periods, and delivery milestones. Handles complex scenarios: contract modifications, cancellations, refunds, and amendments. Adjusts revenue schedules dynamically as contracts change or obligations are fulfilled. Ensures compliance with ASC 606/IFRS 15 requirements including disclosure tracking. Integrates with general ledger to post revenue recognition entries automatically. Maintains audit trail of all recognition decisions and rule applications. Flags unusual scenarios or policy exceptions for accounting review.</t>
        </is>
      </c>
      <c r="K47" s="147" t="inlineStr">
        <is>
          <t>Revenue recognition schedules by performance obligation; Transaction price allocation breakdowns; Automated journal entries for revenue posting; Deferred revenue tracking and forecasts; Revenue waterfall reports (bookings to recognized revenue); Compliance validation reports (ASC 606/IFRS 15); Contract modification impact analysis; Exception alerts requiring accounting review; Revenue disclosure data for financial reporting</t>
        </is>
      </c>
      <c r="L47" s="147" t="inlineStr">
        <is>
          <t>Revenue recognition cycle time: &lt;3 days (from &gt;7 days)
Manual accounting interventions: &lt;5% of transactions
Audit finding rate: 0 revenue-related findings
Revenue forecast accuracy: ±2%
Month-end close reduction: &gt;2 days saved
Compliance adherence: 100% ASC 606/IFRS 15
Revenue restatements: 0 per year</t>
        </is>
      </c>
      <c r="M47" s="147" t="n"/>
      <c r="N47" s="121" t="inlineStr">
        <is>
          <t>High</t>
        </is>
      </c>
      <c r="O47" s="121" t="inlineStr">
        <is>
          <t>Strong business impact with quantified targets: &lt;5%, 2%,  100%, &lt;3 days. Addresses [Manual, Time-Intensive Processes] pain point with measurable ROI.</t>
        </is>
      </c>
      <c r="P47" s="121" t="inlineStr">
        <is>
          <t>High</t>
        </is>
      </c>
      <c r="Q47" s="121" t="inlineStr">
        <is>
          <t>Subscription and revenue management is increasingly relevant across all divisions as Siemens expands recurring revenue models.</t>
        </is>
      </c>
      <c r="R47" s="121" t="inlineStr">
        <is>
          <t>Medium</t>
        </is>
      </c>
      <c r="S47" s="121" t="inlineStr">
        <is>
          <t>3 system integrations required. Systems: SAP F, Salesforce Revenue Cloud. Some custom development needed. Standard connectors and APIs available.</t>
        </is>
      </c>
      <c r="T47" s="121" t="inlineStr">
        <is>
          <t>High</t>
        </is>
      </c>
      <c r="U47" s="121" t="inlineStr">
        <is>
          <t>Standard CRM data. ACP Level 2 sufficient for implementation.</t>
        </is>
      </c>
      <c r="V47" s="121" t="inlineStr">
        <is>
          <t>Low</t>
        </is>
      </c>
      <c r="W47" s="149" t="inlineStr">
        <is>
          <t>STATUS VALIDATED - NO COMPETING INITIATIVE: Revenue recognition. Checked: AF (12), DI (10), SI (9), SAP AI (16) - none address ASC 606 calculations. EXPANSION RISK: SAP RAR exists but not integrated with SFDC. RECOMMENDATION: Proceed - SFDC-side estimation fills gap.</t>
        </is>
      </c>
      <c r="X47" s="149" t="inlineStr">
        <is>
          <t>High</t>
        </is>
      </c>
      <c r="Y47" s="149" t="inlineStr">
        <is>
          <t>Addresses critical pain: [Manual, Time-Intensive Processes]. Specific issue: 'Revenue recognition done manually in spreadsheets...'. Quantified impact in source data.</t>
        </is>
      </c>
      <c r="Z47" s="149" t="inlineStr">
        <is>
          <t>High</t>
        </is>
      </c>
      <c r="AA47" s="149" t="inlineStr">
        <is>
          <t>Strong business impact with quantified targets: &lt;5%, 2%,  100%, &lt;3 days. Addresses [Manual, Time-Intensive Processes] pain point with measurable ROI.</t>
        </is>
      </c>
      <c r="AB47" s="149" t="inlineStr">
        <is>
          <t>High</t>
        </is>
      </c>
      <c r="AC47" s="149" t="inlineStr">
        <is>
          <t>Extended timeline: &gt;6 months. Complex factors: SAP integration, custom development. Plan for phased rollout.</t>
        </is>
      </c>
    </row>
    <row r="48" ht="308.25" customHeight="1" s="113">
      <c r="A48" s="162" t="inlineStr">
        <is>
          <t>Revenue Cloud Agent</t>
        </is>
      </c>
      <c r="B48" s="147" t="inlineStr">
        <is>
          <t>Contract Amendment Sub-Agent</t>
        </is>
      </c>
      <c r="C48" s="147" t="inlineStr">
        <is>
          <t>Manages contract changes (add products, adjust pricing, extend terms) by calculating financial impact, determining revenue recognition treatment, generating amendment quotes with proration, and routing for approval based on amendment value and policy exceptions.</t>
        </is>
      </c>
      <c r="D48" s="147" t="inlineStr">
        <is>
          <t>[Manual, Time-Intensive Processes] Contract amendments require 2-3 days to process. Proration calculations error-prone. Revenue impact assessment manual. Inconsistent amendment approvals. 10% of amendments have pricing or proration errors discovered after execution.</t>
        </is>
      </c>
      <c r="E48" s="154" t="inlineStr">
        <is>
          <t>Does not qualify as AI Agent</t>
        </is>
      </c>
      <c r="F48" s="154" t="inlineStr">
        <is>
          <t>RATIONALE:
TECHNOLOGY: OOB: Salesforce Revenue Cloud
AI QUALIFICATION: NO
- Impact analysis uses configured pricing and proration rules
- Revenue recognition treatment follows explicit ASC 606 guidance
- Amendment quote generation is template-based with calculations
- Approval routing follows policy matrix (not learned)
- Risk assessment uses configured thresholds
SIEMENS CRITERIA ASSESSMENT:
- Business Value: HIGH (amendment error reduction, faster processing)
- Cross-business Applicability: HIGH (all contract amendments)
- Technical Complexity: LOW (OOB Revenue Cloud)
- ACP Compliance: Level 1 (OOB Salesforce)
- Alignment with Initiatives: HIGH (contract automation)
- User Impact: HIGH (error-free amendments, faster turnaround)
CONCLUSION: OOB Revenue Cloud functionality. Amendment processing is calculation and workflow, not AI. Valuable automation but mislabeled as 'agent'. Rename to 'Contract Amendment Processing Service'.</t>
        </is>
      </c>
      <c r="G48" s="147" t="inlineStr">
        <is>
          <t>OOB: Salesforce Revenue Cloud + CPQ
CONFIG: Amendment workflow automation, proration calculations
CUSTOM: Revenue impact analysis, compliance validation rules
AGENTFORCE: Employee Agent with Contract context</t>
        </is>
      </c>
      <c r="H48" s="147" t="inlineStr">
        <is>
          <t>Salesforce Revenue Cloud + CPQ + Contract Lifecycle Management</t>
        </is>
      </c>
      <c r="I48" s="147" t="inlineStr">
        <is>
          <t>Original contract terms (SF Revenue Cloud); Amendment request details (scope, pricing, timing); Current revenue recognition schedules; Historical amendment patterns and approvals; Pricing and discount policies; Customer relationship and contract history; Legal and compliance requirements; Approval authority matrix; Revenue impact modeling rules; Contract change risk factors</t>
        </is>
      </c>
      <c r="J48" s="147" t="inlineStr">
        <is>
          <t>Triggered when customer or sales rep initiates contract change request (add products, change quantities, adjust pricing, extend/reduce term, modify service levels). Validates amendment request against contract terms, identifying restrictions or penalties. Calculates financial impact including proration, credit adjustments, new pricing, and term extensions. Determines whether amendment is treated as contract modification (cumulative catch-up) or new contract under revenue recognition rules. Recalculates revenue schedules considering remaining performance obligations and new transaction price. Evaluates amendment against business policies (discount thresholds, approval requirements, margin targets). Generates amendment quote with all pricing, credits, and term adjustments pre-filled. Routes for appropriate approvals based on financial impact and policy exceptions. Creates amendment documentation with clear explanation of changes and customer impact. Updates all related systems (billing, revenue recognition, order management) upon approval. Maintains version control and audit trail of all contract changes. Flags risky amendments (significant revenue reduction, unusual terms) for additional review.</t>
        </is>
      </c>
      <c r="K48" s="147" t="inlineStr">
        <is>
          <t>Amendment impact analysis (financial, revenue recognition, legal); Automated amendment quote with all adjustments; Proration and credit calculations; Updated revenue recognition schedules; Approval routing with justification package; Amendment documentation (customer-facing and internal); Risk assessment and compliance validation; System update coordination across platforms; Version-controlled contract history</t>
        </is>
      </c>
      <c r="L48" s="147" t="inlineStr">
        <is>
          <t>Amendment processing time: &lt;4 hours (from &gt;24 hours)
Amendment error rate: &lt;1%
Customer satisfaction with amendments: &gt;4.0/5.0
Revenue leakage from errors: &lt;0.1%
Amendment approval cycle: &lt;24 hours
Self-service amendment success: &gt;60%
Amendment-related restatements: 0 per year</t>
        </is>
      </c>
      <c r="M48" s="147" t="n"/>
      <c r="N48" s="121" t="inlineStr">
        <is>
          <t>High</t>
        </is>
      </c>
      <c r="O48" s="121" t="inlineStr">
        <is>
          <t>Strong business impact with quantified targets: &lt;1%, &lt;0.1%, &gt;60%, &lt;4 hours. Addresses [Manual, Time-Intensive Processes] pain point with measurable ROI.</t>
        </is>
      </c>
      <c r="P48" s="121" t="inlineStr">
        <is>
          <t>High</t>
        </is>
      </c>
      <c r="Q48" s="121" t="inlineStr">
        <is>
          <t>Subscription and revenue management is increasingly relevant across all divisions as Siemens expands recurring revenue models.</t>
        </is>
      </c>
      <c r="R48" s="121" t="inlineStr">
        <is>
          <t>Medium</t>
        </is>
      </c>
      <c r="S48" s="121" t="inlineStr">
        <is>
          <t>3 system integrations required. Systems: Salesforce Revenue Cloud. Some custom development needed. Standard connectors and APIs available.</t>
        </is>
      </c>
      <c r="T48" s="121" t="inlineStr">
        <is>
          <t>High</t>
        </is>
      </c>
      <c r="U48" s="121" t="inlineStr">
        <is>
          <t>Standard CRM data. ACP Level 2 sufficient for implementation.</t>
        </is>
      </c>
      <c r="V48" s="121" t="inlineStr">
        <is>
          <t>Low</t>
        </is>
      </c>
      <c r="W48" s="149" t="inlineStr">
        <is>
          <t>STATUS VALIDATED - NO COMPETING INITIATIVE: Contract amendments. Checked: AF (12), DI (10), SI (9), SAP AI (16) - none address contract amendments. EXPANSION RISK: If Quoting Agent (AF Row 8, DISCUSSION) launches, amendments may be in scope. RECOMMENDATION: Proceed, coordinate with Quoting Agent team.</t>
        </is>
      </c>
      <c r="X48" s="149" t="inlineStr">
        <is>
          <t>High</t>
        </is>
      </c>
      <c r="Y48" s="149" t="inlineStr">
        <is>
          <t>Addresses critical pain: [Manual, Time-Intensive Processes]. Specific issue: 'Contract amendments require 2-3 days to process...'. Quantified impact in source data.</t>
        </is>
      </c>
      <c r="Z48" s="149" t="inlineStr">
        <is>
          <t>High</t>
        </is>
      </c>
      <c r="AA48" s="149" t="inlineStr">
        <is>
          <t>Strong business impact with quantified targets: &lt;1%, &lt;0.1%, &gt;60%, &lt;4 hours. Addresses [Manual, Time-Intensive Processes] pain point with measurable ROI.</t>
        </is>
      </c>
      <c r="AB48" s="149" t="inlineStr">
        <is>
          <t>Medium</t>
        </is>
      </c>
      <c r="AC48" s="149" t="inlineStr">
        <is>
          <t>Standard timeline: 3-6 months. 3 system integrations. Key systems: Salesforce Revenue Cloud. Some custom development included.</t>
        </is>
      </c>
    </row>
    <row r="49" ht="308.25" customHeight="1" s="113">
      <c r="A49" s="162" t="inlineStr">
        <is>
          <t>Experience Cloud Agent</t>
        </is>
      </c>
      <c r="B49" s="147" t="inlineStr">
        <is>
          <t>Customer Portal Self-Service Sub-Agent</t>
        </is>
      </c>
      <c r="C49" s="147" t="inlineStr">
        <is>
          <t>AI-powered virtual assistant in customer portal that understands intent through NLP, handles order status inquiries, document requests, reorder quotes, and support questions. Escalates to human agents when confidence is low, providing full context.</t>
        </is>
      </c>
      <c r="D49" s="147" t="inlineStr">
        <is>
          <t>[Insufficient Self-Service Capabilities] B2B customers must call or email for basic inquiries. 60% of support calls are status checks. No 24/7 service. Portal exists but lacks intelligence. High cost-to-serve. Customers frustrated with slow response times.</t>
        </is>
      </c>
      <c r="E49" s="154" t="inlineStr">
        <is>
          <t>Qualifies - Salesforce Agentforce Service</t>
        </is>
      </c>
      <c r="F49" s="154" t="inlineStr">
        <is>
          <t>RATIONALE:
TECHNOLOGY: OOB: Salesforce Agentforce (Experience Cloud)
AI QUALIFICATION: YES
- NLP for intent understanding and query parsing
- Conversational AI for customer interactions
- Knowledge base search with semantic matching
- Personalized recommendations based on history
- Continuous learning from successful interactions
- Intelligent escalation with context transfer
SIEMENS CRITERIA ASSESSMENT:
- Business Value: HIGH (support case deflection 40-60%)
- Cross-business Applicability: HIGH (all customer-facing divisions)
- Technical Complexity: LOW (OOB Agentforce Service)
- ACP Compliance: Level 1 (OOB Salesforce)
- Alignment with Initiatives: HIGH (customer experience, AI)
- User Impact: HIGH (24/7 self-service, faster resolution)
PLATFORM FIT: Salesforce Agentforce Service Agent
- Pre-built conversational AI for customer service
- Multi-system data access for unified responses
- Intelligent escalation to human agents
CONCLUSION: Strong AI use case. Conversational AI with NLP intent understanding is core Agentforce Service functionality. High ROI through case deflection.</t>
        </is>
      </c>
      <c r="G49" s="147" t="inlineStr">
        <is>
          <t>OOB: Salesforce Agentforce Service Agent + Experience Cloud
CONFIG: Intent detection, knowledge base integration, transaction processing
CUSTOM: Siemens-specific product knowledge, escalation rules
AGENTFORCE: Service Agent with Self-Service context</t>
        </is>
      </c>
      <c r="H49" s="147" t="inlineStr">
        <is>
          <t>Salesforce Experience Cloud (Customer Portal) + Knowledge Base + Order Management</t>
        </is>
      </c>
      <c r="I49" s="147" t="inlineStr">
        <is>
          <t>Customer account data (SF CRM); Order and delivery status (SAP S/4HANA); Product catalog and pricing (SF CPQ); Support case history (Service Cloud); Knowledge base and documentation; Invoice and payment data (SAP FI); User behavior and portal analytics; Customer preferences and permissions; Contract and entitlement data; Customer intent signals and query patterns</t>
        </is>
      </c>
      <c r="J49" s="147" t="inlineStr">
        <is>
          <t>Operates within customer-facing Experience Cloud portal, triggered by customer actions or queries. Acts as intelligent virtual assistant understanding customer intent through natural language processing. For order status inquiries, retrieves real-time data from multiple systems and presents unified timeline with shipment tracking. For document requests (invoices, quotes, contracts, certificates), identifies correct documents, verifies customer entitlement, and provides secure download links. For reorder requests, analyzes purchase history, checks current pricing and availability, and generates quote automatically. For simple support inquiries, searches knowledge base and provides relevant articles with contextual recommendations. For complex issues, intelligently routes to appropriate support team with full context. Enables self-service subscription management (view usage, upgrade/downgrade within limits, update billing info). Provides personalized product recommendations based on purchase history and usage patterns. Learns from successful vs. unsuccessful self-service interactions to improve deflection rates. Escalates to human agent when confidence is low or customer explicitly requests, providing full interaction context.</t>
        </is>
      </c>
      <c r="K49" s="147" t="inlineStr">
        <is>
          <t>Conversational responses to customer queries (chat/voice); Real-time order and delivery status with tracking; Automated document retrieval and download; Self-service quote generation for reorders; Contextual knowledge article recommendations; Subscription management interface (usage, billing, upgrades); Intelligent case creation and routing (when needed); Personalized product and service recommendations; Proactive notifications (order shipped, payment due, renewal approaching)</t>
        </is>
      </c>
      <c r="L49" s="147" t="inlineStr">
        <is>
          <t>Self-service deflection rate: &gt;60%
Support case volume reduction: &gt;40%
Customer satisfaction (CSAT): &gt;4.2/5.0
Average self-service resolution time: &lt;5 min
Portal adoption rate: &gt;70% of active customers
Self-service transaction completion: &gt;80%
Cost per interaction reduction: &gt;50%
Reorder conversion rate: &gt;30%</t>
        </is>
      </c>
      <c r="M49" s="147" t="n"/>
      <c r="N49" s="121" t="inlineStr">
        <is>
          <t>High</t>
        </is>
      </c>
      <c r="O49" s="121" t="inlineStr">
        <is>
          <t>Strong business impact with quantified targets: &gt;60%, &gt;40%, &gt;70%. Addresses [Insufficient Self-Service Capabilities] pain point with measurable ROI.</t>
        </is>
      </c>
      <c r="P49" s="121" t="inlineStr">
        <is>
          <t>Medium</t>
        </is>
      </c>
      <c r="Q49" s="121" t="inlineStr">
        <is>
          <t>Primarily serves specific use case but adaptable. Partner ecosystem spans multiple divisions. Partner onboarding and deal registration processes are standardized.</t>
        </is>
      </c>
      <c r="R49" s="121" t="inlineStr">
        <is>
          <t>Medium</t>
        </is>
      </c>
      <c r="S49" s="121" t="inlineStr">
        <is>
          <t>3 system integrations required. Systems: multiple platforms. Some custom development needed. Standard connectors and APIs available.</t>
        </is>
      </c>
      <c r="T49" s="121" t="inlineStr">
        <is>
          <t>High</t>
        </is>
      </c>
      <c r="U49" s="121" t="inlineStr">
        <is>
          <t>Standard CRM data. ACP Level 2 sufficient for implementation.</t>
        </is>
      </c>
      <c r="V49" s="121" t="inlineStr">
        <is>
          <t>High</t>
        </is>
      </c>
      <c r="W49" s="149" t="inlineStr">
        <is>
          <t>DIRECT CONFLICT: SiePortal Customer Agent is IN EVALUATION (AF Tab Row 11). Function: 'Customer support, Product specs, Order details' (SOURCE: AF Tab Row 11). User base: 2 Million portal users, 1.3M visits/month (SOURCE: AF Tab Row 11, Col 10). Status: POC on Helix vs Agentforce (SOURCE: AF Tab Row 11, Next Steps). RECOMMENDATION: Coordinate with Frank Kirchhan (owner per AF tab) on architecture decision.</t>
        </is>
      </c>
      <c r="X49" s="149" t="inlineStr">
        <is>
          <t>High</t>
        </is>
      </c>
      <c r="Y49" s="149" t="inlineStr">
        <is>
          <t>Addresses critical pain: [Insufficient Self-Service Capabilities]. Specific issue: 'B2B customers must call or email for basic inquiries...'. Quantified impact in source data.</t>
        </is>
      </c>
      <c r="Z49" s="149" t="inlineStr">
        <is>
          <t>High</t>
        </is>
      </c>
      <c r="AA49" s="149" t="inlineStr">
        <is>
          <t>Strong business impact with quantified targets: &gt;60%, &gt;40%, &gt;70%. Addresses [Insufficient Self-Service Capabilities] pain point with measurable ROI.</t>
        </is>
      </c>
      <c r="AB49" s="149" t="inlineStr">
        <is>
          <t>High</t>
        </is>
      </c>
      <c r="AC49" s="149" t="inlineStr">
        <is>
          <t>Extended timeline: &gt;6 months. Complex factors: custom development. Plan for phased rollout.</t>
        </is>
      </c>
    </row>
    <row r="50" ht="323.25" customHeight="1" s="113">
      <c r="A50" s="162" t="inlineStr">
        <is>
          <t>Experience Cloud Agent</t>
        </is>
      </c>
      <c r="B50" s="147" t="inlineStr">
        <is>
          <t>Partner Onboarding Sub-Agent</t>
        </is>
      </c>
      <c r="C50" s="147" t="inlineStr">
        <is>
          <t>Guides partners through onboarding with AI-assisted qualification, compliance screening, tier recommendations, and personalized enablement plans. Validates partner information, generates customized agreements, tracks certification progress, and assigns partner success managers.</t>
        </is>
      </c>
      <c r="D50" s="147" t="inlineStr">
        <is>
          <t>[Manual, Time-Intensive Processes] Partner onboarding takes 4-6 weeks manually. 50% of partners stall during process. No systematic qualification assessment. Training completion tracked in spreadsheets. Channel team overwhelmed with administrative tasks.</t>
        </is>
      </c>
      <c r="E50" s="154" t="inlineStr">
        <is>
          <t>Qualifies - Salesforce Agentforce Service</t>
        </is>
      </c>
      <c r="F50" s="154" t="inlineStr">
        <is>
          <t>RATIONALE:
TECHNOLOGY: OOB: Salesforce Agentforce (Experience Cloud - Partner Community)
AI QUALIFICATION: YES
- Agentforce Employee Agent for NLP-based guidance and chat
- Natural language understanding for partner questions
- AI-generated tier and program recommendations based on partner profile
⚠️ CLARIFICATION: "Partner qualification and fit assessment" uses RULE-BASED SCORING (weighted criteria), not ML. The AI component is Agentforce NLP for conversational guidance, not ML-based qualification prediction.
TECHNOLOGY STACK:
- Experience Cloud Partner Community (OOB)
- Agentforce Employee Agent (NLP - AI)
- Qualification scoring (weighted rules - NOT ML)
- Compliance screening (deterministic checks - NOT ML)</t>
        </is>
      </c>
      <c r="G50" s="147" t="inlineStr">
        <is>
          <t>OOB: Salesforce Agentforce Employee Agent + Experience Cloud (Partner)
CONFIG: Onboarding workflow automation, compliance screening (rule-based)
CUSTOM: Partner qualification scoring (weighted rules - NOT ML), training path recommendations (rule-based)
AGENTFORCE: Employee Agent (NLP for partner guidance)
⚠️ NOTE: Qualification scoring uses weighted criteria matching - this is rule-based, not ML. AI = Agentforce NLP only.</t>
        </is>
      </c>
      <c r="H50" s="147" t="inlineStr">
        <is>
          <t>Salesforce Experience Cloud (Partner Community) + Partner Management</t>
        </is>
      </c>
      <c r="I50" s="147" t="inlineStr">
        <is>
          <t>Partner application data (Experience Cloud forms); Partner business information (D&amp;B, credit bureaus); Compliance and certification requirements; Partner program tiers and benefits; Training and enablement content; Territory and product authorization rules; Legal agreements and contract templates; Partner relationship history (if existing); Reference checks and partner reputation data; Onboarding workflow and approval policies</t>
        </is>
      </c>
      <c r="J50" s="147" t="inlineStr">
        <is>
          <t>Triggered when prospective partner initiates registration through partner portal. Guides partner through structured onboarding journey with progressive disclosure of requirements. Validates partner information in real-time (company details, tax ID, business licenses) against external data sources. Performs automated compliance screening (sanctions lists, denied parties, conflict checks with existing partners). Assesses partner fit based on geographic coverage, technical capabilities, customer base, and strategic alignment. Recommends appropriate partner tier and program based on size, capabilities, and market focus. Generates customized partner agreement incorporating selected program terms, territory rights, and compensation structure. Routes for internal approvals based on partner tier and strategic importance. Orchestrates required training and certification completion, tracking progress and sending reminders. Provisions portal access, assigns territories, and configures product authorizations upon approval. Creates personalized enablement plan with onboarding milestones, training modules, and resource access. Assigns partner success manager and schedules kickoff activities. Monitors onboarding completion and flags at-risk partners who aren't progressing.</t>
        </is>
      </c>
      <c r="K50" s="147" t="inlineStr">
        <is>
          <t>Automated partner qualification assessment; Partner tier and program recommendations; Customized partner agreement generation; Compliance validation results; Onboarding workflow with milestones and tasks; Training and certification tracking dashboard; Territory and product authorization setup; Portal access provisioning; Personalized enablement plan and resources; Partner success manager assignment; Onboarding progress alerts and reminders</t>
        </is>
      </c>
      <c r="L50" s="147" t="inlineStr">
        <is>
          <t>Partner onboarding cycle: &lt;5 days (from &gt;15 days)
Onboarding completion rate: &gt;90%
Time to first partner-sourced deal: &lt;30 days
Partner satisfaction with onboarding: &gt;4.3/5.0
Partner ramp time: &lt;45 days to productivity
Manual onboarding task reduction: &gt;70%
Partner retention (90-day): &gt;95%
Partner retention (1-year): &gt;85%</t>
        </is>
      </c>
      <c r="M50" s="147" t="n"/>
      <c r="N50" s="121" t="inlineStr">
        <is>
          <t>High</t>
        </is>
      </c>
      <c r="O50" s="121" t="inlineStr">
        <is>
          <t>Strong business impact with quantified targets: &gt;90%, &gt;70%, &gt;95%, &lt;5 days. Addresses [Manual, Time-Intensive Processes] pain point with measurable ROI.</t>
        </is>
      </c>
      <c r="P50" s="121" t="inlineStr">
        <is>
          <t>Medium</t>
        </is>
      </c>
      <c r="Q50" s="121" t="inlineStr">
        <is>
          <t>Primarily serves specific use case but adaptable. Partner ecosystem spans multiple divisions. Partner onboarding and deal registration processes are standardized.</t>
        </is>
      </c>
      <c r="R50" s="121" t="inlineStr">
        <is>
          <t>Medium</t>
        </is>
      </c>
      <c r="S50" s="121" t="inlineStr">
        <is>
          <t>2 system integrations required. Systems: multiple platforms. Some custom development needed. Standard connectors and APIs available.</t>
        </is>
      </c>
      <c r="T50" s="121" t="inlineStr">
        <is>
          <t>Medium</t>
        </is>
      </c>
      <c r="U50" s="121" t="inlineStr">
        <is>
          <t>NEEDS REVIEW: Uses credit bureaus (D&amp;B) for partner validation. Partner financial data may require elevated access. Verify partner data classification vs. customer data.</t>
        </is>
      </c>
      <c r="V50" s="121" t="inlineStr">
        <is>
          <t>Medium</t>
        </is>
      </c>
      <c r="W50" s="149" t="inlineStr">
        <is>
          <t>RELATED INITIATIVE: Partner Agent is ON HOLD (AF Tab Row 9, not LIVE). Function per AF Tab: 'Partner certification, Partner Finder, Hybrid Deal Reg'. Status: ON HOLD per AF Tab Row 9 ('Salesforce on hold - POC ran'). SPECIFIC DIFFERENTIATOR: Partner Onboarding automates the NEW PARTNER workflow specifically. Partner Agent (when live) handles broader portal experience. RECOMMENDATION: Since Partner Agent is on hold, proceed. Coordinate with Peter Gapp if it restarts.</t>
        </is>
      </c>
      <c r="X50" s="149" t="inlineStr">
        <is>
          <t>High</t>
        </is>
      </c>
      <c r="Y50" s="149" t="inlineStr">
        <is>
          <t>Addresses critical pain: [Manual, Time-Intensive Processes]. Specific issue: 'Partner onboarding takes 4-6 weeks manually...'. Quantified impact in source data.</t>
        </is>
      </c>
      <c r="Z50" s="149" t="inlineStr">
        <is>
          <t>High</t>
        </is>
      </c>
      <c r="AA50" s="149" t="inlineStr">
        <is>
          <t>Strong business impact with quantified targets: &gt;90%, &gt;70%, &gt;95%, &lt;5 days. Addresses [Manual, Time-Intensive Processes] pain point with measurable ROI.</t>
        </is>
      </c>
      <c r="AB50" s="149" t="inlineStr">
        <is>
          <t>High</t>
        </is>
      </c>
      <c r="AC50" s="149" t="inlineStr">
        <is>
          <t>Extended timeline: &gt;6 months. Complex factors: custom development, ML model training. Plan for phased rollout.</t>
        </is>
      </c>
    </row>
    <row r="51" ht="15" customHeight="1" s="113">
      <c r="A51" s="162" t="inlineStr">
        <is>
          <t>Experience Cloud Agent</t>
        </is>
      </c>
      <c r="B51" s="147" t="inlineStr">
        <is>
          <t>Partner Deal Registration Sub-Agent</t>
        </is>
      </c>
      <c r="C51" s="147" t="inlineStr">
        <is>
          <t>Automates deal registration with intelligent customer matching, conflict detection, partner eligibility validation, and deal quality scoring. Creates protected opportunities, calculates partner discounts, and manages deal protection periods with proactive engagement tracking.</t>
        </is>
      </c>
      <c r="D51" s="147" t="inlineStr">
        <is>
          <t>[Manual, Time-Intensive Processes] Deal registration approval takes 2-3 days. 30% of registrations have conflicts requiring manual resolution. No systematic deal quality assessment. Partners frustrated with slow response and unclear rejection reasons.</t>
        </is>
      </c>
      <c r="E51" s="154" t="inlineStr">
        <is>
          <t>Qualifies - Salesforce Agentforce Service</t>
        </is>
      </c>
      <c r="F51" s="154" t="inlineStr">
        <is>
          <t>RATIONALE:
TECHNOLOGY: OOB: Salesforce Agentforce (Experience Cloud - Partner Community)
AI QUALIFICATION: YES - But NOT from fuzzy matching
- Fuzzy matching (Levenshtein, Soundex) is NOT ML - it's deterministic string algorithm
- AI qualification comes from Agentforce Employee Agent NLP capabilities
- NLP for natural language understanding of registration context
- AI-powered conflict resolution recommendations
- Intelligent priority scoring (rule-based, not ML)
⚠️ CLARIFICATION: The "customer matching using fuzzy logic" is a STRING MATCHING algorithm, not machine learning. Fuzzy matching uses edit distance calculations (O(n×m) complexity) and phonetic hashing - these are deterministic, not learned patterns.
DECISION: Qualifies as AI ONLY because of Agentforce NLP capabilities, NOT fuzzy matching.</t>
        </is>
      </c>
      <c r="G51" s="147" t="inlineStr">
        <is>
          <t>OOB: Salesforce Agentforce Employee Agent + Experience Cloud (Partner)
CONFIG: Customer matching automation (fuzzy string matching - NOT ML), conflict detection rules
CUSTOM: Priority scoring algorithm (rule-based weighted scoring)
AGENTFORCE: Employee Agent (NLP for context understanding)
⚠️ NOTE: Customer matching uses Levenshtein distance and Soundex phonetic matching - these are string algorithms, not ML. AI component is Agentforce NLP only.</t>
        </is>
      </c>
      <c r="H51" s="147" t="inlineStr">
        <is>
          <t>Salesforce Experience Cloud (Partner Community) + CRM + Territory Management</t>
        </is>
      </c>
      <c r="I51" s="147" t="inlineStr">
        <is>
          <t>Deal registration submission (partner portal); Partner account and tier information; Customer account data (SF CRM); Existing opportunity and pipeline data; Territory and partner assignment rules; Deal registration policies and approval criteria; Conflict detection rules (partner overlap, direct sales); Partner incentive and discount programs; Historical deal registration patterns; Customer relationship ownership data</t>
        </is>
      </c>
      <c r="J51" s="147" t="inlineStr">
        <is>
          <t>Triggered when partner submits deal registration through portal. Validates registration completeness, ensuring all required fields are provided (customer name, opportunity details, products, estimated value, timeline). Performs intelligent customer matching using fuzzy logic to identify existing customer accounts, preventing duplicate entries. Checks for conflicts with existing opportunities, other partner registrations, and direct sales activities. Evaluates partner eligibility based on territory rights, product authorizations, program tier, and certification status. Assesses deal registration against approval policies (minimum deal size, product mix, partner capability requirements). Scores deal quality using historical win rate data, customer profile, and competitive factors. For approved registrations, automatically creates protected opportunity in Salesforce with partner attribution. Assigns appropriate deal protection period based on opportunity stage and partner tier. Calculates partner discount and incentive eligibility, applying program rules automatically. Routes exceptional cases for manual review (conflicts, policy exceptions, strategic accounts). Sends real-time notifications to partner on approval status with clear next steps. Updates partner on opportunity progress and provides collaboration workspace with internal sales team. Tracks deal protection expiration and partner engagement to prevent shelf-ware registrations.</t>
        </is>
      </c>
      <c r="K51" s="147" t="inlineStr">
        <is>
          <t>Deal registration approval/rejection decision with rationale; Conflict detection results and resolution recommendations; Protected opportunity creation in Salesforce; Partner discount and incentive calculations; Deal protection period assignment; Collaboration workspace setup (partner + internal sales); Real-time status notifications to partner; Deal quality score and win probability; Required next actions for partner and sales team; Registration expiration tracking and alerts</t>
        </is>
      </c>
      <c r="L51" s="147" t="inlineStr">
        <is>
          <t>Deal registration processing: &lt;4 hours (from &gt;48 hours)
Auto-approval rate: &gt;60% of registrations
Partner-sourced pipeline: &gt;25% of total pipeline
Win rate on partner deals: &gt;30%
Partner portal adoption: &gt;80%
Conflict resolution time: &lt;24 hours
Partner satisfaction with registration: &gt;4.0/5.0
Channel revenue contribution: &gt;20% increase</t>
        </is>
      </c>
      <c r="M51" s="147" t="n"/>
      <c r="N51" s="121" t="inlineStr">
        <is>
          <t>High</t>
        </is>
      </c>
      <c r="O51" s="121" t="inlineStr">
        <is>
          <t>Strong business impact with quantified targets: &gt;60%, &gt;25%, &gt;30%, &lt;4 hours. Addresses [Manual, Time-Intensive Processes] pain point with measurable ROI.</t>
        </is>
      </c>
      <c r="P51" s="121" t="inlineStr">
        <is>
          <t>Medium</t>
        </is>
      </c>
      <c r="Q51" s="121" t="inlineStr">
        <is>
          <t>Primarily serves specific use case but adaptable. Partner ecosystem spans multiple divisions. Partner onboarding and deal registration processes are standardized.</t>
        </is>
      </c>
      <c r="R51" s="121" t="inlineStr">
        <is>
          <t>High</t>
        </is>
      </c>
      <c r="S51" s="121" t="inlineStr">
        <is>
          <t>Complex implementation: 3 systems (multiple platforms). Custom ML model development and training required. Estimated significant technical effort.</t>
        </is>
      </c>
      <c r="T51" s="121" t="inlineStr">
        <is>
          <t>High</t>
        </is>
      </c>
      <c r="U51" s="121" t="inlineStr">
        <is>
          <t>Standard CRM data. ACP Level 2 sufficient for implementation.</t>
        </is>
      </c>
      <c r="V51" s="121" t="inlineStr">
        <is>
          <t>Medium</t>
        </is>
      </c>
      <c r="W51" s="149" t="inlineStr">
        <is>
          <t>RELATED INITIATIVE: Partner Agent is ON HOLD (AF Tab Row 9). Function: 'Partner certification, Partner Finder Data, Hybrid Deal Reg' (SOURCE: AF Tab Row 9). Status: ON HOLD, not LIVE (SOURCE: AF Tab Row 9, Col 5). Since initiative is on hold, not direct conflict but monitor for restart. RECOMMENDATION: Proceed, but coordinate with Peter Gapp (owner) if Partner Agent restarts.</t>
        </is>
      </c>
      <c r="X51" s="149" t="inlineStr">
        <is>
          <t>High</t>
        </is>
      </c>
      <c r="Y51" s="149" t="inlineStr">
        <is>
          <t>Addresses critical pain: [Manual, Time-Intensive Processes]. Specific issue: 'Deal registration approval takes 2-3 days...'. Quantified impact in source data.</t>
        </is>
      </c>
      <c r="Z51" s="149" t="inlineStr">
        <is>
          <t>High</t>
        </is>
      </c>
      <c r="AA51" s="149" t="inlineStr">
        <is>
          <t>Strong business impact with quantified targets: &gt;60%, &gt;25%, &gt;30%, &lt;4 hours. Addresses [Manual, Time-Intensive Processes] pain point with measurable ROI.</t>
        </is>
      </c>
      <c r="AB51" s="149" t="inlineStr">
        <is>
          <t>High</t>
        </is>
      </c>
      <c r="AC51" s="149" t="inlineStr">
        <is>
          <t>Extended timeline: &gt;6 months. Complex factors: custom development, ML model training. Plan for phased rollout.</t>
        </is>
      </c>
    </row>
    <row r="52" ht="43.5" customHeight="1" s="113">
      <c r="A52" s="155" t="inlineStr">
        <is>
          <t>Sales Enablement Agent</t>
        </is>
      </c>
      <c r="B52" s="149" t="inlineStr">
        <is>
          <t>AI-Driven Daily Prioritization &amp; Prospecting</t>
        </is>
      </c>
      <c r="C52" s="149" t="inlineStr">
        <is>
          <t>Leverages Generative AI to prioritize daily tasks, identify key prospects, and suggest personalized outreach strategies. The agent analyzes pipeline data, customer engagement signals, and deal velocity to recommend the highest-impact activities. Integrates with calendar and email to surface time-sensitive opportunities and automate meeting prep. Provides conversational interface for reps to ask "What should I focus on today?" and receive contextual, data-driven recommendations.</t>
        </is>
      </c>
      <c r="D52" s="149" t="inlineStr">
        <is>
          <t>[Information Overload &amp; Decision Paralysis] Sales reps juggle 50+ accounts, 100+ leads, and multiple renewals. No systematic prioritization methodology. High-value opportunities missed. Reps spend first 1-2 hours daily deciding what to work on.</t>
        </is>
      </c>
      <c r="E52" s="149" t="inlineStr">
        <is>
          <t>Qualifies - Salesforce Agentforce Employee</t>
        </is>
      </c>
      <c r="F52" s="149" t="inlineStr">
        <is>
          <t>RATIONALE:
TECHNOLOGY: OOB: Salesforce Agentforce (Employee Agent)
AI QUALIFICATION: YES
- Generative AI for personalized outreach suggestions
- ML-based task prioritization using engagement signals
- Prospect scoring and recommendation
- Pattern recognition for optimal contact timing
SIEMENS CRITERIA ASSESSMENT:
- Business Value: HIGH (sales productivity, focus on high-value activities)
- Cross-business Applicability: HIGH (all sales teams)
- Technical Complexity: LOW (OOB Agentforce Employee Agent)
- ACP Compliance: Level 1 (OOB Salesforce)
- Alignment with Initiatives: HIGH (AI-first sales)
- User Impact: HIGH (daily time savings, better prioritization)
PLATFORM FIT: Salesforce Agentforce Employee Agent (OOB)
CONCLUSION: Core Agentforce Employee Agent functionality. AI-driven prioritization is exactly what this agent type is designed for.</t>
        </is>
      </c>
      <c r="G52" s="149" t="inlineStr">
        <is>
          <t>OOB: Salesforce Agentforce Employee Agent
CONFIG: Pipeline analysis, engagement scoring, calendar integration
CUSTOM: Prioritization model tuned to Siemens sales methodology
AGENTFORCE: Employee Agent with Sales Productivity actions</t>
        </is>
      </c>
      <c r="H52" s="149" t="inlineStr">
        <is>
          <t>Salesforce CRM (Sales Cloud) + Agentforce + Data Cloud + Calendar Integration</t>
        </is>
      </c>
      <c r="I52" s="149" t="inlineStr">
        <is>
          <t>Lead and contact data (SF CRM); Opportunity pipeline (SF CRM); Engagement history (emails, calls, meetings); Account health metrics; Renewal dates and signals; Historical conversion patterns; Calendar availability</t>
        </is>
      </c>
      <c r="J52" s="149" t="inlineStr">
        <is>
          <t>Triggered daily or on-demand. Agentforce Employee Agent analyzes rep's portfolio of leads, opportunities, and renewals. Applies ML scoring to prioritize by urgency, value, and win probability. Generates personalized outreach suggestions for top priorities. Identifies prospects matching ideal customer profile. Considers rep's calendar and optimal contact times.</t>
        </is>
      </c>
      <c r="K52" s="149" t="inlineStr">
        <is>
          <t>Prioritized daily task list with rationale; Personalized outreach suggestions per prospect; Prospect recommendations with fit score; Optimal contact timing; Calendar integration with suggested activities</t>
        </is>
      </c>
      <c r="L52" s="149" t="inlineStr">
        <is>
          <t>Time to first sales activity: &lt;30 min after login
High-value opportunity engagement: &gt;80% of top deals touched daily
Lead response time: &lt;4 hours (from &gt;24 hours)
Sales rep productivity: &gt;15% more activities/week
Prioritization adoption rate: &gt;75% of team
Win rate on prioritized activities: &gt;35%</t>
        </is>
      </c>
      <c r="M52" s="149" t="inlineStr">
        <is>
          <t>Yes</t>
        </is>
      </c>
      <c r="N52" s="149" t="inlineStr">
        <is>
          <t>High</t>
        </is>
      </c>
      <c r="O52" s="149" t="inlineStr">
        <is>
          <t>Strong business impact with quantified targets: &gt;80%, &gt;15%, &gt;75%, &lt;4 hours. Addresses [Information Overload &amp; Decision Paralysis] pain point with measurable ROI.</t>
        </is>
      </c>
      <c r="P52" s="149" t="inlineStr">
        <is>
          <t>High</t>
        </is>
      </c>
      <c r="Q52" s="149" t="inlineStr">
        <is>
          <t>Sales productivity tools benefit all customer-facing roles. Account intelligence, deal status, and coaching apply across DI, SI, and MO.</t>
        </is>
      </c>
      <c r="R52" s="149" t="inlineStr">
        <is>
          <t>High</t>
        </is>
      </c>
      <c r="S52" s="149" t="inlineStr">
        <is>
          <t>Complex implementation: 4 systems (Salesforce CRM , Agentforce ). Estimated significant technical effort.</t>
        </is>
      </c>
      <c r="T52" s="149" t="inlineStr">
        <is>
          <t>High</t>
        </is>
      </c>
      <c r="U52" s="149" t="inlineStr">
        <is>
          <t>Standard CRM data. ACP Level 2 sufficient for implementation.</t>
        </is>
      </c>
      <c r="V52" s="149" t="inlineStr">
        <is>
          <t>High</t>
        </is>
      </c>
      <c r="W52" s="149" t="inlineStr">
        <is>
          <t>DIRECT CONFLICT: Qualification Agent is IN UAT, READY TO GO-LIVE (AF Tab Row 6). Function: 'Pick up and qualify daily SieSales Leads' (SOURCE: AF Tab Row 6). Volume: 1200 Eloqua leads/month (SOURCE: AF Tab Row 6, Col 10). Status: 'Ready to Go-Live' (SOURCE: AF Tab Row 6, Col 11). RECOMMENDATION: This is launching NOW - coordinate with Todd Jones (owner).</t>
        </is>
      </c>
      <c r="X52" s="149" t="inlineStr">
        <is>
          <t>High</t>
        </is>
      </c>
      <c r="Y52" s="149" t="inlineStr">
        <is>
          <t>Addresses critical pain: [Information Overload &amp; Decision Paralysis]. Specific issue: 'Sales reps juggle 50+ accounts, 100+ leads, and multiple renewals...'. Quantified impact in source data.</t>
        </is>
      </c>
      <c r="Z52" s="149" t="inlineStr">
        <is>
          <t>High</t>
        </is>
      </c>
      <c r="AA52" s="149" t="inlineStr">
        <is>
          <t>Strong business impact with quantified targets: &gt;80%, &gt;15%, &gt;75%, &lt;4 hours. Addresses [Information Overload &amp; Decision Paralysis] pain point with measurable ROI.</t>
        </is>
      </c>
      <c r="AB52" s="149" t="inlineStr">
        <is>
          <t>Medium</t>
        </is>
      </c>
      <c r="AC52" s="149" t="inlineStr">
        <is>
          <t>Standard timeline: 3-6 months. 4 system integrations. Key systems: Salesforce CRM , Agentforce . Some custom development included.</t>
        </is>
      </c>
    </row>
    <row r="53" ht="43.5" customHeight="1" s="113">
      <c r="A53" s="155" t="inlineStr">
        <is>
          <t>Sales Enablement Agent</t>
        </is>
      </c>
      <c r="B53" s="149" t="inlineStr">
        <is>
          <t>Proactive Churn Mitigation &amp; Action</t>
        </is>
      </c>
      <c r="C53" s="149" t="inlineStr">
        <is>
          <t>Identifies at-risk customers by analyzing product usage patterns, support ticket sentiment, billing issues, and engagement decline. Uses ML model to predict churn probability 30-90 days in advance. Suggests personalized retention actions based on customer segment, contract value, and historical success patterns. Automatically triggers retention playbooks and assigns to appropriate CSM. Provides conversational interface for reps to query "Which accounts need attention?" with AI-generated risk summaries and recommended interventions.</t>
        </is>
      </c>
      <c r="D53" s="149" t="inlineStr">
        <is>
          <t>[Missed Business Opportunities] Churn detected only after cancellation request. No proactive signals. Reactive retention offers too late. 20-30% of churned customers had visible warning signs in data. Retention actions inconsistent across team.</t>
        </is>
      </c>
      <c r="E53" s="149" t="inlineStr">
        <is>
          <t>Qualifies - Salesforce Agentforce Employee</t>
        </is>
      </c>
      <c r="F53" s="149" t="inlineStr">
        <is>
          <t>RATIONALE:
TECHNOLOGY: OOB: Salesforce Agentforce (Employee Agent)
AI QUALIFICATION: YES
- ML-based churn prediction from usage and sentiment data
- Pattern recognition for at-risk indicators
- AI-generated retention recommendations
ML MODEL SPECIFICATION (Churn Prediction):
├── Algorithm: LSTM (Long Short-Term Memory) neural network
│   └── Handles temporal sequences in usage/engagement data
├── Training Data: 36+ months customer lifecycle data
├── Feature Engineering:
│   ├── Usage sequences: Daily/weekly product usage trends
│   ├── Sentiment features: NPS scores, ticket sentiment scores
│   ├── Engagement decay: Login frequency decline rate
│   ├── Payment signals: Days past due, payment disputes
│   └── Competitive indicators: Feature request patterns
├── Target: Churn probability (0-1) at 30, 60, 90-day horizons
├── Architecture: 2-layer LSTM, 128 hidden units, dropout 0.3
├── Validation: Time-series cross-validation, AUC-ROC &gt; 0.80
├── Inference: Batch scoring (nightly), triggers at threshold &gt; 0.6
└── Retraining: Bi-weekly with recent churn outcomes
TECHNOLOGY STACK:
- Agentforce Employee Agent (NLP for retention playbooks)
- Data Cloud (usage analytics, sentiment aggregation)
- Custom LSTM model (churn prediction - CUSTOM)
- CRM + Product Analytics integration</t>
        </is>
      </c>
      <c r="G53" s="149" t="inlineStr">
        <is>
          <t>OOB: Salesforce Agentforce Employee Agent + Data Cloud
CONFIG: Usage analytics integration, sentiment analysis, churn scoring workflows
CUSTOM: LSTM neural network churn model (2-layer, 128 units, trained on 36+ months Siemens customer data, AUC &gt; 0.80)
AGENTFORCE: Employee Agent (NLP for retention recommendations)
ML MODEL: LSTM neural network processing temporal usage sequences, engagement decay rates, sentiment trends, and payment behavior. Trained on Siemens-specific customer lifecycle data. Predicts churn probability at 30/60/90-day horizons. Batch scoring nightly, bi-weekly retraining.</t>
        </is>
      </c>
      <c r="H53" s="149" t="inlineStr">
        <is>
          <t>Salesforce CRM + Agentforce + Data Cloud + Product Usage Analytics + Support System</t>
        </is>
      </c>
      <c r="I53" s="149" t="inlineStr">
        <is>
          <t>Product usage and adoption data; Customer sentiment (support tickets, NPS, surveys); Engagement decline patterns; Payment behavior trends; Contract renewal timeline; Competitive intelligence; Historical churn patterns</t>
        </is>
      </c>
      <c r="J53" s="149" t="inlineStr">
        <is>
          <t>Runs scheduled analysis of customer base. ML model scores each customer's churn risk based on usage decline, sentiment signals, payment delays, support issues, and engagement patterns. Identifies at-risk customers before explicit churn signals. Generates personalized retention actions (outreach emails, discount offers, success manager engagement). Creates tasks for follow-up calls. Tracks retention action effectiveness to improve recommendations.</t>
        </is>
      </c>
      <c r="K53" s="149" t="inlineStr">
        <is>
          <t>Churn risk scores per customer; At-risk customer alerts with contributing factors; Recommended retention actions (email, call, offer); Pre-drafted retention communications; Retention playbook per risk profile; Task queue for follow-up activities</t>
        </is>
      </c>
      <c r="L53" s="149" t="inlineStr">
        <is>
          <t>Churn rate reduction: &gt;25% vs baseline
At-risk detection lead time: &gt;45 days before cancellation
Retention action success rate: &gt;50%
Revenue saved through retention: &gt;$1M/quarter
Customer lifetime value: &gt;10% improvement
Proactive intervention rate: &gt;70% (vs reactive)</t>
        </is>
      </c>
      <c r="M53" s="149" t="inlineStr">
        <is>
          <t>Yes</t>
        </is>
      </c>
      <c r="N53" s="149" t="inlineStr">
        <is>
          <t>High</t>
        </is>
      </c>
      <c r="O53" s="149" t="inlineStr">
        <is>
          <t>Strong business impact with quantified targets: &gt;25%, &gt;50%, &gt;10%, &gt;45 days. Addresses [Missed Business Opportunities] pain point with measurable ROI.</t>
        </is>
      </c>
      <c r="P53" s="149" t="inlineStr">
        <is>
          <t>High</t>
        </is>
      </c>
      <c r="Q53" s="149" t="inlineStr">
        <is>
          <t>Sales productivity tools benefit all customer-facing roles. Account intelligence, deal status, and coaching apply across DI, SI, and MO.</t>
        </is>
      </c>
      <c r="R53" s="149" t="inlineStr">
        <is>
          <t>High</t>
        </is>
      </c>
      <c r="S53" s="149" t="inlineStr">
        <is>
          <t>Complex implementation: 5 systems (Salesforce CRM , Agentforce ). Custom ML model development and training required. Estimated significant technical effort.</t>
        </is>
      </c>
      <c r="T53" s="149" t="inlineStr">
        <is>
          <t>Medium</t>
        </is>
      </c>
      <c r="U53" s="149" t="inlineStr">
        <is>
          <t>NEEDS REVIEW: Analyzes payment behavior TRENDS (not raw transactions). Aggregated patterns may be Level 2, but verify if individual payment data is accessed.</t>
        </is>
      </c>
      <c r="V53" s="149" t="inlineStr">
        <is>
          <t>Low</t>
        </is>
      </c>
      <c r="W53" s="149" t="inlineStr">
        <is>
          <t>STATUS VALIDATED - UNIQUE TODAY: Churn prediction. Checked: AF (12) - SieSales Employee Agent summarizes, doesn't predict churn. Checked: DI #1 (Account Planning Personal Assistant) - account summaries, not churn prediction. Checked: SI (9), SAP AI (16) - none address churn. EXPANSION RISK: Customer 360 could expand to health scores. MONITOR roadmap. RECOMMENDATION: Proceed, design to feed INTO Customer 360.</t>
        </is>
      </c>
      <c r="X53" s="149" t="inlineStr">
        <is>
          <t>High</t>
        </is>
      </c>
      <c r="Y53" s="149" t="inlineStr">
        <is>
          <t>Addresses critical pain: [Missed Business Opportunities]. Specific issue: 'Churn detected only after cancellation request...'. Quantified impact in source data.</t>
        </is>
      </c>
      <c r="Z53" s="149" t="inlineStr">
        <is>
          <t>High</t>
        </is>
      </c>
      <c r="AA53" s="149" t="inlineStr">
        <is>
          <t>Strong business impact with quantified targets: &gt;25%, &gt;50%, &gt;10%, &gt;45 days. Addresses [Missed Business Opportunities] pain point with measurable ROI.</t>
        </is>
      </c>
      <c r="AB53" s="149" t="inlineStr">
        <is>
          <t>High</t>
        </is>
      </c>
      <c r="AC53" s="149" t="inlineStr">
        <is>
          <t>Extended timeline: &gt;6 months. Complex factors: custom development, ML model training, 5 systems. Plan for phased rollout.</t>
        </is>
      </c>
    </row>
    <row r="54" ht="98" customHeight="1" s="113">
      <c r="A54" s="155" t="inlineStr">
        <is>
          <t>Sales Enablement Agent</t>
        </is>
      </c>
      <c r="B54" s="149" t="inlineStr">
        <is>
          <t>Automated Opportunity &amp; Quote Creation</t>
        </is>
      </c>
      <c r="C54" s="149" t="inlineStr">
        <is>
          <t>⚠️ DUPLICATE OF Row 55 (Seamless Quote Management) - Both are CPQ quote automation. RECOMMEND MERGE. | Automatically drafts opportunity records and generates quotes based on CRM data, conversation insights, and historical patterns. The agent extracts deal information from emails, calls, and meetings to pre-populate opportunity fields. Suggests optimal product configurations and pricing based on customer segment, deal size, and competitive context. Reduces data entry burden while improving CRM data quality. Provides natural language interface for reps to say "Create opportunity for conversation with [customer]" and receive complete draft records.</t>
        </is>
      </c>
      <c r="D54" s="149" t="inlineStr">
        <is>
          <t>[Manual, Time-Intensive Processes] Sales reps spend 30-45 minutes creating opportunities and drafting initial quotes. Data entry errors common. Inconsistent opportunity creation across team. Time spent on admin instead of selling.</t>
        </is>
      </c>
      <c r="E54" s="149" t="inlineStr">
        <is>
          <t>Qualifies - Salesforce Agentforce Employee</t>
        </is>
      </c>
      <c r="F54" s="149" t="inlineStr">
        <is>
          <t>RATIONALE:
TECHNOLOGY: OOB: Salesforce Agentforce (Employee Agent)
AI QUALIFICATION: YES
- AI-assisted data extraction from conversations/emails
- Intelligent field population based on context
- Quote generation with AI recommendations
- Learning from successful opportunity patterns
SIEMENS CRITERIA ASSESSMENT:
- Business Value: HIGH (admin time reduction, data quality)
- Cross-business Applicability: HIGH (all sales teams)
- Technical Complexity: LOW (OOB Agentforce)
- ACP Compliance: Level 1 (OOB Salesforce)
- Alignment with Initiatives: HIGH (sales automation, AI)
- User Impact: HIGH (more selling time)
PLATFORM FIT: Salesforce Agentforce Employee Agent (OOB)
CONCLUSION: AI-assisted creation goes beyond simple automation. Intelligent field population and contextual recommendations qualify as AI.</t>
        </is>
      </c>
      <c r="G54" s="149" t="inlineStr">
        <is>
          <t>OOB: Salesforce Agentforce Employee Agent + CPQ
CONFIG: Opportunity field mapping, quote template automation
CUSTOM: Product recommendation logic, pricing optimization
AGENTFORCE: Employee Agent with Opportunity Management actions</t>
        </is>
      </c>
      <c r="H54" s="149" t="inlineStr">
        <is>
          <t>Salesforce CRM (Sales Cloud) + CPQ + Agentforce + Einstein Conversation Insights</t>
        </is>
      </c>
      <c r="I54" s="149" t="inlineStr">
        <is>
          <t>Customer communication (emails, call transcripts); Account data (SF CRM); Product catalog (SF CPQ); Pricing rules and discounts; Historical similar opportunities; Rep preferences and patterns</t>
        </is>
      </c>
      <c r="J54" s="149" t="inlineStr">
        <is>
          <t>Triggered by sales rep request or email conversation detection. Agentforce Employee Agent extracts opportunity details from context (customer name, products discussed, timeline, value). Pre-populates opportunity fields using AI. Generates initial quote with recommended products based on customer profile and similar deals. Suggests pricing based on account segment and competitive context. Rep reviews and submits.</t>
        </is>
      </c>
      <c r="K54" s="149" t="inlineStr">
        <is>
          <t>Pre-populated opportunity record; Draft quote with recommended products; Pricing suggestions with rationale; Similar successful deals for reference; Required fields highlighted; One-click submission after review</t>
        </is>
      </c>
      <c r="L54" s="149" t="inlineStr">
        <is>
          <t>Opportunity creation time: &lt;5 min (from &gt;20 min)
Quote drafting time: &lt;10 min (from &gt;45 min)
Data entry accuracy: &gt;95%
Sales rep satisfaction: &gt;4.0/5.0
AI opportunity adoption: &gt;60% of new opportunities
Quote-to-opportunity ratio: &gt;1.5:1</t>
        </is>
      </c>
      <c r="M54" s="149" t="inlineStr">
        <is>
          <t>Yes</t>
        </is>
      </c>
      <c r="N54" s="149" t="inlineStr">
        <is>
          <t>High</t>
        </is>
      </c>
      <c r="O54" s="149" t="inlineStr">
        <is>
          <t>Strong business impact with quantified targets: &gt;95%, &gt;60%. Addresses [Manual, Time-Intensive Processes] pain point with measurable ROI.</t>
        </is>
      </c>
      <c r="P54" s="149" t="inlineStr">
        <is>
          <t>High</t>
        </is>
      </c>
      <c r="Q54" s="149" t="inlineStr">
        <is>
          <t>Sales productivity tools benefit all customer-facing roles. Account intelligence, deal status, and coaching apply across DI, SI, and MO.</t>
        </is>
      </c>
      <c r="R54" s="149" t="inlineStr">
        <is>
          <t>High</t>
        </is>
      </c>
      <c r="S54" s="149" t="inlineStr">
        <is>
          <t>Complex implementation: 4 systems (Salesforce CRM , Agentforce ). Estimated significant technical effort.</t>
        </is>
      </c>
      <c r="T54" s="149" t="inlineStr">
        <is>
          <t>High</t>
        </is>
      </c>
      <c r="U54" s="149" t="inlineStr">
        <is>
          <t>Standard CRM data. ACP Level 2 sufficient for implementation.</t>
        </is>
      </c>
      <c r="V54" s="149" t="inlineStr">
        <is>
          <t>Low</t>
        </is>
      </c>
      <c r="W54" s="149" t="inlineStr">
        <is>
          <t>FUTURE OVERLAP ONLY: Quote creation overlaps with Quoting Agent. Checked: AF (12), DI (10), SI (9) - NO live quoting capability exists today. Quoting Agent is IN DISCUSSION (AF Tab Row 8: 'In discussion, not until May'). Status explicitly 'not until May' with 'In Year 1: 500 Users' projection. RECOMMENDATION: Proceed now - capability needed before Quoting Agent goes live. Design APIs for future Quoting Agent handoff.</t>
        </is>
      </c>
      <c r="X54" s="149" t="inlineStr">
        <is>
          <t>High</t>
        </is>
      </c>
      <c r="Y54" s="149" t="inlineStr">
        <is>
          <t>Addresses critical pain: [Manual, Time-Intensive Processes]. Specific issue: 'Sales reps spend 30-45 minutes creating opportunities and drafting initial quotes...'. Quantified impact in source data.</t>
        </is>
      </c>
      <c r="Z54" s="149" t="inlineStr">
        <is>
          <t>High</t>
        </is>
      </c>
      <c r="AA54" s="149" t="inlineStr">
        <is>
          <t>Strong business impact with quantified targets: &gt;95%, &gt;60%. Addresses [Manual, Time-Intensive Processes] pain point with measurable ROI.</t>
        </is>
      </c>
      <c r="AB54" s="149" t="inlineStr">
        <is>
          <t>Medium</t>
        </is>
      </c>
      <c r="AC54" s="149" t="inlineStr">
        <is>
          <t>Standard timeline: 3-6 months. 4 system integrations. Key systems: Salesforce CRM , Agentforce . Some custom development included.</t>
        </is>
      </c>
    </row>
    <row r="55" ht="29.25" customHeight="1" s="113">
      <c r="A55" s="155" t="inlineStr">
        <is>
          <t>Sales Enablement Agent</t>
        </is>
      </c>
      <c r="B55" s="149" t="inlineStr">
        <is>
          <t>Seamless Quote Management</t>
        </is>
      </c>
      <c r="C55" s="149" t="inlineStr">
        <is>
          <t>⚠️ DUPLICATE OF Row 54 (Automated Quote Creation) - Both are CPQ quote automation. RECOMMEND MERGE. | Facilitates the entire quote lifecycle, from creation to approval, using a unified conversational interface. Reps can ask "What's the status of quote for [customer]?" and receive real-time updates with next steps. Agent proactively notifies reps of pending approvals, expiring quotes, and customer engagement signals. Integrates with approval workflows to expedite processing and reduce bottlenecks. Provides guided quote configuration for complex products and suggests discount strategies within policy guardrails.</t>
        </is>
      </c>
      <c r="D55" s="149" t="inlineStr">
        <is>
          <t>[Manual, Time-Intensive Processes] Quote lifecycle fragmented across multiple screens and systems. Approval status unclear. Version control challenges. Reps lose track of quote status. Customer-facing quote delivery inconsistent.</t>
        </is>
      </c>
      <c r="E55" s="149" t="inlineStr">
        <is>
          <t>Qualifies - Salesforce Agentforce Employee</t>
        </is>
      </c>
      <c r="F55" s="149" t="inlineStr">
        <is>
          <t>RATIONALE:
TECHNOLOGY: OOB: Salesforce Agentforce (Employee Agent)
AI QUALIFICATION: YES
- Conversational interface for quote management
- AI-assisted quote modifications
- Intelligent status summarization
- Proactive recommendations for stuck quotes
NOTE: Core CPQ functionality (pricing, validation) is rule-based. AI value is in conversational interface and intelligent recommendations.
SIEMENS CRITERIA ASSESSMENT:
- Business Value: HIGH (quote velocity improvement)
- Cross-business Applicability: HIGH (all quoting teams)
- Technical Complexity: LOW (OOB Agentforce + CPQ)
- ACP Compliance: Level 1 (OOB Salesforce)
- Alignment with Initiatives: HIGH (CPQ + AI)
- User Impact: HIGH (unified quote experience)
PLATFORM FIT: Salesforce Agentforce Employee Agent + CPQ (OOB)
CONCLUSION: Conversational quote management through Agentforce qualifies. The AI layer provides intelligent navigation and recommendations on top of CPQ.</t>
        </is>
      </c>
      <c r="G55" s="149" t="inlineStr">
        <is>
          <t>OOB: Salesforce Agentforce Employee Agent + CPQ
CONFIG: Quote lifecycle automation, approval routing, expiry alerts
CUSTOM: Discount policy guardrails, guided configuration rules
AGENTFORCE: Employee Agent with Quote Management actions</t>
        </is>
      </c>
      <c r="H55" s="149" t="inlineStr">
        <is>
          <t>Salesforce CRM (Sales Cloud) + CPQ + Agentforce + Approval Workflows</t>
        </is>
      </c>
      <c r="I55" s="149" t="inlineStr">
        <is>
          <t>Quote data (SF CPQ); Approval workflow status; Customer engagement (quote views, portal activity); Pricing and discount rules; Historical quote patterns; Rep activity and notes</t>
        </is>
      </c>
      <c r="J55" s="149" t="inlineStr">
        <is>
          <t>Provides unified conversational interface for all quote activities. Sales rep can ask 'show me pending quotes', 'what's blocking Quote X?', 'send quote to customer'. Agentforce Employee Agent retrieves status, identifies blockers, suggests next actions. Facilitates approvals through conversational routing. Generates customer-facing quote documents. Tracks engagement and recommends follow-up timing.</t>
        </is>
      </c>
      <c r="K55" s="149" t="inlineStr">
        <is>
          <t>Quote status dashboard in conversational format; Blocker identification and resolution suggestions; One-click approval submission; Customer-ready quote documents; Engagement tracking and follow-up recommendations; Quote lifecycle timeline</t>
        </is>
      </c>
      <c r="L55" s="149" t="inlineStr">
        <is>
          <t>Quote cycle time: &lt;48 hours (from &gt;5 days)
Quote status inquiry time: &lt;1 min
Approval turnaround: &lt;4 hours (from &gt;24 hours)
Quote conversion rate: &gt;40%
Sales rep quoting satisfaction: &gt;4.2/5.0
Customer quote experience: &gt;4.0/5.0</t>
        </is>
      </c>
      <c r="M55" s="149" t="inlineStr">
        <is>
          <t>Yes</t>
        </is>
      </c>
      <c r="N55" s="149" t="inlineStr">
        <is>
          <t>High</t>
        </is>
      </c>
      <c r="O55" s="149" t="inlineStr">
        <is>
          <t>Strong business impact with quantified targets: &gt;40%, &lt;48 hours, &gt;5 days. Addresses [Manual, Time-Intensive Processes] pain point with measurable ROI.</t>
        </is>
      </c>
      <c r="P55" s="149" t="inlineStr">
        <is>
          <t>High</t>
        </is>
      </c>
      <c r="Q55" s="149" t="inlineStr">
        <is>
          <t>Sales productivity tools benefit all customer-facing roles. Account intelligence, deal status, and coaching apply across DI, SI, and MO.</t>
        </is>
      </c>
      <c r="R55" s="149" t="inlineStr">
        <is>
          <t>High</t>
        </is>
      </c>
      <c r="S55" s="149" t="inlineStr">
        <is>
          <t>Complex implementation: 4 systems (Salesforce CRM , Agentforce ). Estimated significant technical effort.</t>
        </is>
      </c>
      <c r="T55" s="149" t="inlineStr">
        <is>
          <t>High</t>
        </is>
      </c>
      <c r="U55" s="149" t="inlineStr">
        <is>
          <t>Standard CRM data. ACP Level 2 sufficient for implementation.</t>
        </is>
      </c>
      <c r="V55" s="149" t="inlineStr">
        <is>
          <t>Low</t>
        </is>
      </c>
      <c r="W55" s="149" t="inlineStr">
        <is>
          <t>FUTURE INITIATIVE ONLY: Quote management relates to Quoting Agent. Checked: AF Row 8 (DISCUSSION), DI #4 (predefined) - 18+ months out. RECOMMENDATION: Proceed. Capabilities will be valuable for CPQ project.</t>
        </is>
      </c>
      <c r="X55" s="149" t="inlineStr">
        <is>
          <t>Medium</t>
        </is>
      </c>
      <c r="Y55" s="149" t="inlineStr">
        <is>
          <t>Addresses [Manual, Time-Intensive Processes] pain point. 'Quote lifecycle fragmented across multiple screens and systems...'. Moderate user impact.</t>
        </is>
      </c>
      <c r="Z55" s="149" t="inlineStr">
        <is>
          <t>High</t>
        </is>
      </c>
      <c r="AA55" s="149" t="inlineStr">
        <is>
          <t>Strong business impact with quantified targets: &gt;40%, &lt;48 hours, &gt;5 days. Addresses [Manual, Time-Intensive Processes] pain point with measurable ROI.</t>
        </is>
      </c>
      <c r="AB55" s="149" t="inlineStr">
        <is>
          <t>Medium</t>
        </is>
      </c>
      <c r="AC55" s="149" t="inlineStr">
        <is>
          <t>Standard timeline: 3-6 months. 4 system integrations. Key systems: Salesforce CRM , Agentforce . Some custom development included.</t>
        </is>
      </c>
    </row>
    <row r="56" ht="29.25" customHeight="1" s="113">
      <c r="A56" s="155" t="inlineStr">
        <is>
          <t>Sales Enablement Agent</t>
        </is>
      </c>
      <c r="B56" s="149" t="inlineStr">
        <is>
          <t>Integrated Knowledge &amp; Insights</t>
        </is>
      </c>
      <c r="C56" s="149" t="inlineStr">
        <is>
          <t>Provides real-time insights and relevant knowledge articles to sales reps during customer interactions. The agent surfaces competitive intelligence, product specifications, case studies, and pricing guidance based on conversation context. Integrates with Agentforce Data Library (ADL) to access structured and unstructured content. Reps can ask "What differentiates us from [competitor]?" or "Show me case studies for [industry]" and receive curated, relevant content. Tracks content effectiveness to improve recommendations over time.</t>
        </is>
      </c>
      <c r="D56" s="149" t="inlineStr">
        <is>
          <t>[Information Overload &amp; Decision Paralysis] Sales reps cannot find relevant content during customer calls. Knowledge scattered across SharePoint, Confluence, PDFs. Takes 10-15 minutes to locate right information. Outdated content shared to customers. No contextual recommendations.</t>
        </is>
      </c>
      <c r="E56" s="149" t="inlineStr">
        <is>
          <t>Qualifies - Salesforce Agentforce Employee</t>
        </is>
      </c>
      <c r="F56" s="149" t="inlineStr">
        <is>
          <t>RATIONALE:
TECHNOLOGY: OOB: Salesforce Agentforce (Employee Agent + Agentforce Data Library/ADL)
AI QUALIFICATION: YES
- Semantic search across knowledge repositories
- Contextual recommendation based on customer/deal
- Real-time insight surfacing during interactions
- NLP for query understanding
SIEMENS CRITERIA ASSESSMENT:
- Business Value: HIGH (faster content discovery, better conversations)
- Cross-business Applicability: HIGH (all customer-facing teams)
- Technical Complexity: LOW (OOB Agentforce + Data Library)
- ACP Compliance: Level 1 (OOB Salesforce)
- Alignment with Initiatives: HIGH (knowledge management, AI)
- User Impact: HIGH (right content at right time)
PLATFORM FIT: Salesforce Agentforce Employee Agent + Agentforce Data Library (OOB)
CONCLUSION: Semantic search and contextual recommendations are core AI functions. ADL integration enables AI-powered knowledge discovery.</t>
        </is>
      </c>
      <c r="G56" s="149" t="inlineStr">
        <is>
          <t>OOB: Salesforce Agentforce Employee Agent + Agentforce Data Library (ADL)
CONFIG: Knowledge base integration, content tagging, context matching
CUSTOM: Siemens-specific content library, competitive intelligence database
AGENTFORCE: Employee Agent with Knowledge retrieval actions</t>
        </is>
      </c>
      <c r="H56" s="149" t="inlineStr">
        <is>
          <t>Salesforce CRM + Agentforce + Data Library + Knowledge Base + Document Management</t>
        </is>
      </c>
      <c r="I56" s="149" t="inlineStr">
        <is>
          <t>Knowledge base articles (Salesforce Knowledge); Product documentation; Case studies and references; Competitor battlecards; Pricing guides and ROI calculators; Training materials; Customer context (industry, segment, stage)</t>
        </is>
      </c>
      <c r="J56" s="149" t="inlineStr">
        <is>
          <t>Operates during customer interactions or on-demand. Agentforce Employee Agent monitors conversation context (account, products discussed, objections raised). Automatically surfaces relevant knowledge articles, case studies, competitive insights. Uses semantic search through Agentforce Data Library to find content matching context. Provides real-time insights and talking points. Recommends content for customer sharing. Learns from content usage patterns.</t>
        </is>
      </c>
      <c r="K56" s="149" t="inlineStr">
        <is>
          <t>Contextual knowledge recommendations; Relevant case studies and references; Competitive intelligence for current opportunity; Objection handling guidance; Customer-shareable content links; Insight summaries during conversations</t>
        </is>
      </c>
      <c r="L56" s="149" t="inlineStr">
        <is>
          <t>Time to find relevant content: &lt;30 sec (from &gt;10 min)
Content utilization in conversations: &gt;50% of meetings
Win rate with AI-assisted knowledge: &gt;35%
Sales rep confidence scores: &gt;4.0/5.0
Content effectiveness tracking: &gt;70% positive feedback
Customer engagement with materials: &gt;40% click-through</t>
        </is>
      </c>
      <c r="M56" s="149" t="inlineStr">
        <is>
          <t>Yes</t>
        </is>
      </c>
      <c r="N56" s="149" t="inlineStr">
        <is>
          <t>High</t>
        </is>
      </c>
      <c r="O56" s="149" t="inlineStr">
        <is>
          <t>Strong business impact with quantified targets: &gt;50%, &gt;35%, &gt;70%. Addresses [Information Overload &amp; Decision Paralysis] pain point with measurable ROI.</t>
        </is>
      </c>
      <c r="P56" s="149" t="inlineStr">
        <is>
          <t>High</t>
        </is>
      </c>
      <c r="Q56" s="149" t="inlineStr">
        <is>
          <t>Sales productivity tools benefit all customer-facing roles. Account intelligence, deal status, and coaching apply across DI, SI, and MO.</t>
        </is>
      </c>
      <c r="R56" s="149" t="inlineStr">
        <is>
          <t>High</t>
        </is>
      </c>
      <c r="S56" s="149" t="inlineStr">
        <is>
          <t>Complex implementation: 5 systems (Salesforce CRM , Agentforce ). Estimated significant technical effort.</t>
        </is>
      </c>
      <c r="T56" s="149" t="inlineStr">
        <is>
          <t>High</t>
        </is>
      </c>
      <c r="U56" s="149" t="inlineStr">
        <is>
          <t>Standard CRM data. ACP Level 2 sufficient for implementation.</t>
        </is>
      </c>
      <c r="V56" s="149" t="inlineStr">
        <is>
          <t>Low</t>
        </is>
      </c>
      <c r="W56" s="149" t="inlineStr">
        <is>
          <t>DIFFERENT FUNCTION: This agent surfaces KNOWLEDGE CONTENT (case studies, competitive intel, product documentation, best practices). Checked: AF (12), DI (10), SI (9) - NONE provide knowledge content aggregation. Customer 360 / SieSales Employee Agent (AF Row 7) provides CRM DATA SUMMARIES (account records, opportunity status, contact history) - DIFFERENT data type entirely. RECOMMENDATION: Proceed - unique knowledge management capability.</t>
        </is>
      </c>
      <c r="X56" s="149" t="inlineStr">
        <is>
          <t>High</t>
        </is>
      </c>
      <c r="Y56" s="149" t="inlineStr">
        <is>
          <t>Addresses critical pain: [Information Overload &amp; Decision Paralysis]. Specific issue: 'Sales reps cannot find relevant content during customer calls...'. Quantified impact in source data.</t>
        </is>
      </c>
      <c r="Z56" s="149" t="inlineStr">
        <is>
          <t>High</t>
        </is>
      </c>
      <c r="AA56" s="149" t="inlineStr">
        <is>
          <t>Strong business impact with quantified targets: &gt;50%, &gt;35%, &gt;70%. Addresses [Information Overload &amp; Decision Paralysis] pain point with measurable ROI.</t>
        </is>
      </c>
      <c r="AB56" s="149" t="inlineStr">
        <is>
          <t>High</t>
        </is>
      </c>
      <c r="AC56" s="149" t="inlineStr">
        <is>
          <t>Extended timeline: &gt;6 months. Complex factors: custom development, 5 systems. Plan for phased rollout.</t>
        </is>
      </c>
    </row>
    <row r="57" ht="29.25" customHeight="1" s="113">
      <c r="A57" s="155" t="inlineStr">
        <is>
          <t>Sales Enablement Agent</t>
        </is>
      </c>
      <c r="B57" s="149" t="inlineStr">
        <is>
          <t>Transcript Reader &amp; Scheduling Agent</t>
        </is>
      </c>
      <c r="C57" s="149" t="inlineStr">
        <is>
          <t>Automatically summarizes call transcripts and assists with scheduling follow-up meetings. The agent extracts key discussion points, action items, objections, and next steps from recorded conversations. Generates AI summaries that can be saved to CRM records. Integrates with calendar to suggest and book follow-up meetings based on conversation outcomes. Reps can ask "What were the action items from my call with [customer]?" and receive structured summaries with scheduling recommendations.</t>
        </is>
      </c>
      <c r="D57" s="149" t="inlineStr">
        <is>
          <t>[Manual, Time-Intensive Processes] Sales reps spend 15-20 minutes reviewing call recordings and taking notes. Action items lost in transcripts. Follow-up meetings scheduled manually. Context from calls not captured in CRM. Handoffs to colleagues incomplete.</t>
        </is>
      </c>
      <c r="E57" s="149" t="inlineStr">
        <is>
          <t>Qualifies - Salesforce Agentforce Employee</t>
        </is>
      </c>
      <c r="F57" s="149" t="inlineStr">
        <is>
          <t>RATIONALE:
TECHNOLOGY: OOB: Salesforce Agentforce (Employee Agent)
AI QUALIFICATION: YES
- NLP for transcript summarization
- Entity extraction (action items, commitments, dates)
- Sentiment analysis from conversation
- AI-assisted meeting scheduling
- Context linking to CRM records
SIEMENS CRITERIA ASSESSMENT:
- Business Value: HIGH (post-call admin reduction)
- Cross-business Applicability: HIGH (all sales with recorded calls)
- Technical Complexity: LOW (OOB Agentforce)
- ACP Compliance: Level 1 (OOB Salesforce)
- Alignment with Initiatives: HIGH (sales productivity, AI)
- User Impact: HIGH (immediate post-call actions)
PLATFORM FIT: Salesforce Agentforce Employee Agent (OOB)
CONCLUSION: NLP-based transcript analysis and summarization is genuine AI. Action item extraction and contextual scheduling require language understanding.</t>
        </is>
      </c>
      <c r="G57" s="149" t="inlineStr">
        <is>
          <t>OOB: Salesforce Agentforce Employee Agent + Einstein Conversation Insights
CONFIG: Transcript analysis, action item extraction, calendar integration
CUSTOM: Meeting summary templates, follow-up scheduling rules
AGENTFORCE: Employee Agent with Call Intelligence actions</t>
        </is>
      </c>
      <c r="H57" s="149" t="inlineStr">
        <is>
          <t>Salesforce CRM + Agentforce + Einstein Conversation Insights + Calendar Integration</t>
        </is>
      </c>
      <c r="I57" s="149" t="inlineStr">
        <is>
          <t>Call recordings and transcripts (Sales Dialer, Zoom, Teams); Calendar availability (Outlook, Google); CRM opportunity and contact data; Historical meeting patterns; Action item templates</t>
        </is>
      </c>
      <c r="J57" s="149" t="inlineStr">
        <is>
          <t>Triggered after call completion. Agentforce Employee Agent processes transcript using NLP. Extracts key topics discussed, action items, commitments made, and follow-up requirements. Generates summary for CRM activity log. Identifies scheduling needs ('let's meet next week') and suggests available times. Creates calendar invites with pre-populated agenda based on conversation. Updates opportunity stage and next steps. Alerts relevant team members about handoff items.</t>
        </is>
      </c>
      <c r="K57" s="149" t="inlineStr">
        <is>
          <t>Call summary (2-3 paragraphs); Action item list with owners and due dates; Sentiment and engagement score; Follow-up meeting suggestions with calendar integration; CRM activity record update; Key topics and themes extracted; Handoff alerts to team members</t>
        </is>
      </c>
      <c r="L57" s="149" t="inlineStr">
        <is>
          <t>Post-call admin time: &lt;5 min (from &gt;20 min)
Action item capture rate: &gt;90%
Meeting scheduling time: &lt;2 min
CRM data quality improvement: &gt;30%
Follow-up meeting conversion: &gt;60%
AI summary adoption rate: &gt;70% of recorded calls</t>
        </is>
      </c>
      <c r="M57" s="149" t="inlineStr">
        <is>
          <t>Yes</t>
        </is>
      </c>
      <c r="N57" s="149" t="inlineStr">
        <is>
          <t>High</t>
        </is>
      </c>
      <c r="O57" s="149" t="inlineStr">
        <is>
          <t>Strong business impact with quantified targets: &gt;90%, &gt;30%, &gt;60%. Addresses [Manual, Time-Intensive Processes] pain point with measurable ROI.</t>
        </is>
      </c>
      <c r="P57" s="149" t="inlineStr">
        <is>
          <t>High</t>
        </is>
      </c>
      <c r="Q57" s="149" t="inlineStr">
        <is>
          <t>Sales productivity tools benefit all customer-facing roles. Account intelligence, deal status, and coaching apply across DI, SI, and MO.</t>
        </is>
      </c>
      <c r="R57" s="149" t="inlineStr">
        <is>
          <t>High</t>
        </is>
      </c>
      <c r="S57" s="149" t="inlineStr">
        <is>
          <t>Complex implementation: 4 systems (Salesforce CRM , Agentforce ). Estimated significant technical effort.</t>
        </is>
      </c>
      <c r="T57" s="149" t="inlineStr">
        <is>
          <t>High</t>
        </is>
      </c>
      <c r="U57" s="149" t="inlineStr">
        <is>
          <t>Standard CRM data. ACP Level 2 sufficient for implementation.</t>
        </is>
      </c>
      <c r="V57" s="149" t="inlineStr">
        <is>
          <t>Low</t>
        </is>
      </c>
      <c r="W57" s="149" t="inlineStr">
        <is>
          <t>STATUS VALIDATED - NO COMPETING INITIATIVE: Transcript analysis. Checked: AF (12), DI (10), SI (9), SAP AI (16) - none address call intelligence. DI #5 Service Agent handles service requests, not call transcription. EXPANSION RISK: Microsoft Copilot for Sales includes call summarization. RECOMMENDATION: Proceed with SFDC-native; design for data portability.</t>
        </is>
      </c>
      <c r="X57" s="149" t="inlineStr">
        <is>
          <t>High</t>
        </is>
      </c>
      <c r="Y57" s="149" t="inlineStr">
        <is>
          <t>Addresses critical pain: [Manual, Time-Intensive Processes]. Specific issue: 'Sales reps spend 15-20 minutes reviewing call recordings and taking notes...'. Quantified impact in source data.</t>
        </is>
      </c>
      <c r="Z57" s="149" t="inlineStr">
        <is>
          <t>High</t>
        </is>
      </c>
      <c r="AA57" s="149" t="inlineStr">
        <is>
          <t>Strong business impact with quantified targets: &gt;90%, &gt;30%, &gt;60%. Addresses [Manual, Time-Intensive Processes] pain point with measurable ROI.</t>
        </is>
      </c>
      <c r="AB57" s="149" t="inlineStr">
        <is>
          <t>Medium</t>
        </is>
      </c>
      <c r="AC57" s="149" t="inlineStr">
        <is>
          <t>Standard timeline: 3-6 months. 4 system integrations. Key systems: Salesforce CRM , Agentforce . Some custom development included.</t>
        </is>
      </c>
    </row>
    <row r="58" ht="29.25" customHeight="1" s="113">
      <c r="A58" s="155" t="inlineStr">
        <is>
          <t>Sales Enablement Agent</t>
        </is>
      </c>
      <c r="B58" s="149" t="inlineStr">
        <is>
          <t>Sales Coach Implementation &amp; Custom Use Case</t>
        </is>
      </c>
      <c r="C58" s="149" t="inlineStr">
        <is>
          <t>Provides real-time coaching and personalized feedback to sales reps based on their performance data, conversation patterns, and deal outcomes. The agent analyzes win/loss patterns, identifies skill gaps, and suggests targeted improvements. Offers role-play scenarios for practice and provides post-call coaching feedback. Enables managers to scale coaching across large teams. Reps can ask "How can I improve my discovery calls?" and receive personalized recommendations based on their performance compared to top performers.</t>
        </is>
      </c>
      <c r="D58" s="149" t="inlineStr">
        <is>
          <t>[Inconsistent &amp; Low-Quality Customer Interactions] New reps take 6-12 months to reach productivity. Coaching dependent on manager availability. Best practices not systematically shared. Performance feedback delayed. High variance in rep effectiveness.</t>
        </is>
      </c>
      <c r="E58" s="149" t="inlineStr">
        <is>
          <t>Qualifies - Salesforce Agentforce Sales Coach</t>
        </is>
      </c>
      <c r="F58" s="149" t="inlineStr">
        <is>
          <t>RATIONALE:
TECHNOLOGY: OOB: Salesforce Agentforce (Sales Coach Agent)
AI QUALIFICATION: YES
- Real-time conversation analysis and guidance
- ML-based performance pattern recognition
- Personalized coaching recommendations
- Best practice identification and sharing
- Continuous learning from outcomes
SIEMENS CRITERIA ASSESSMENT:
- Business Value: HIGH (faster rep ramp, consistent quality)
- Cross-business Applicability: HIGH (all sales teams)
- Technical Complexity: LOW (OOB Agentforce Sales Coach)
- ACP Compliance: Level 1 (OOB Salesforce)
- Alignment with Initiatives: HIGH (sales excellence, AI)
- User Impact: HIGH (always-on coaching)
PLATFORM FIT: Salesforce Agentforce Sales Coach Agent (OOB)
- Purpose-built for sales coaching
- Real-time and post-interaction feedback
- Manager dashboard for team insights
CONCLUSION: Agentforce Sales Coach is a specific agent type designed for this use case. All described capabilities are OOB.</t>
        </is>
      </c>
      <c r="G58" s="149" t="inlineStr">
        <is>
          <t>OOB: Salesforce Agentforce Sales Coach Agent
CONFIG: Performance analytics, coaching playbooks, skill assessment
CUSTOM: Siemens sales methodology alignment, role-specific coaching paths
AGENTFORCE: Sales Coach Agent with Performance Improvement actions</t>
        </is>
      </c>
      <c r="H58" s="149" t="inlineStr">
        <is>
          <t>Salesforce CRM + Agentforce Sales Coach + Einstein Conversation Insights + Analytics</t>
        </is>
      </c>
      <c r="I58" s="149" t="inlineStr">
        <is>
          <t>Call recordings and transcripts; Email communications; CRM activity data; Win/loss outcomes; Best performer patterns; Sales methodology framework (MEDDIC, Challenger, etc.); Individual rep performance history; Manager feedback and evaluations</t>
        </is>
      </c>
      <c r="J58" s="149" t="inlineStr">
        <is>
          <t>Operates continuously during and after customer interactions. During calls, provides real-time guidance (suggested questions, objection handling tips, talking points). Post-interaction, analyzes performance against methodology and best practices. Identifies skill gaps and recommends training. Compares to top performers and suggests improvements. Provides personalized coaching path. Surfaces insights to managers for team coaching. Tracks improvement over time and celebrates wins.</t>
        </is>
      </c>
      <c r="K58" s="149" t="inlineStr">
        <is>
          <t>Real-time coaching prompts during calls; Post-call performance analysis; Skill gap identification and training recommendations; Best practice comparisons to top performers; Personalized coaching path; Manager dashboard with team insights; Performance improvement tracking; Recognition for achievements</t>
        </is>
      </c>
      <c r="L58" s="149" t="inlineStr">
        <is>
          <t>New rep ramp time: &lt;60 days (from &gt;90 days)
Quota attainment consistency: &lt;15% variance across team
Win rate improvement: &gt;20% for coached reps
Sales methodology adherence: &gt;80%
Coaching adoption rate: &gt;75%
Manager coaching efficiency: &gt;3x more reps coached
Top performer replication: &gt;25% more reps at quota</t>
        </is>
      </c>
      <c r="M58" s="149" t="inlineStr">
        <is>
          <t>Yes</t>
        </is>
      </c>
      <c r="N58" s="149" t="inlineStr">
        <is>
          <t>High</t>
        </is>
      </c>
      <c r="O58" s="149" t="inlineStr">
        <is>
          <t>Strong business impact with quantified targets: &lt;15%, &gt;20%, &gt;80%, &lt;60 days. Addresses [Inconsistent &amp; Low-Quality Customer Interactions] pain point with measurable ROI.</t>
        </is>
      </c>
      <c r="P58" s="149" t="inlineStr">
        <is>
          <t>High</t>
        </is>
      </c>
      <c r="Q58" s="149" t="inlineStr">
        <is>
          <t>Sales productivity tools benefit all customer-facing roles. Account intelligence, deal status, and coaching apply across DI, SI, and MO.</t>
        </is>
      </c>
      <c r="R58" s="149" t="inlineStr">
        <is>
          <t>High</t>
        </is>
      </c>
      <c r="S58" s="149" t="inlineStr">
        <is>
          <t>Complex implementation: 4 systems (Salesforce CRM , Agentforce Sales ). Estimated significant technical effort.</t>
        </is>
      </c>
      <c r="T58" s="149" t="inlineStr">
        <is>
          <t>High</t>
        </is>
      </c>
      <c r="U58" s="149" t="inlineStr">
        <is>
          <t>Standard CRM data. ACP Level 2 sufficient for implementation.</t>
        </is>
      </c>
      <c r="V58" s="149" t="inlineStr">
        <is>
          <t>Low</t>
        </is>
      </c>
      <c r="W58" s="149" t="inlineStr">
        <is>
          <t>STATUS VALIDATED - NO COMPETING INITIATIVE: Sales coaching. Checked: AF (12), DI (10), SI (9), SAP AI (16) - none address coaching/enablement. DI #8 Sales Development Agent is SDR focused, not coaching. EXPANSION RISK: Conversation intelligence vendors (Gong, Chorus) offer coaching. RECOMMENDATION: Proceed - fills current gap.</t>
        </is>
      </c>
      <c r="X58" s="149" t="inlineStr">
        <is>
          <t>Medium</t>
        </is>
      </c>
      <c r="Y58" s="149" t="inlineStr">
        <is>
          <t>Addresses [Inconsistent &amp; Low-Quality Customer Interactions] pain point. 'New reps take 6-12 months to reach productivity...'. Moderate user impact.</t>
        </is>
      </c>
      <c r="Z58" s="149" t="inlineStr">
        <is>
          <t>High</t>
        </is>
      </c>
      <c r="AA58" s="149" t="inlineStr">
        <is>
          <t>Strong business impact with quantified targets: &lt;15%, &gt;20%, &gt;80%, &lt;60 days. Addresses [Inconsistent &amp; Low-Quality Customer Interactions] pain point with measurable ROI.</t>
        </is>
      </c>
      <c r="AB58" s="149" t="inlineStr">
        <is>
          <t>Medium</t>
        </is>
      </c>
      <c r="AC58" s="149" t="inlineStr">
        <is>
          <t>Standard timeline: 3-6 months. 4 system integrations. Key systems: Salesforce CRM , Agentforce Sales . Some custom development included.</t>
        </is>
      </c>
    </row>
    <row r="59" ht="29.25" customHeight="1" s="113">
      <c r="A59" s="155" t="inlineStr">
        <is>
          <t>Sales Enablement Agent</t>
        </is>
      </c>
      <c r="B59" s="149" t="inlineStr">
        <is>
          <t>Notifications &amp; Approval Process</t>
        </is>
      </c>
      <c r="C59" s="149" t="inlineStr">
        <is>
          <t>⚠️ DUPLICATE OF Row 33 (Approval Workflow Orchestration) - Both handle approval workflows + SLA tracking. RECOMMEND MERGE. | Routes critical notifications and approval requests directly to Slack channels for real-time processing. The agent enables mobile-friendly approvals with context summaries, eliminating delays from email-based workflows. Integrates with Salesforce approval processes to provide one-click approve/reject actions. Surfaces deal context, pricing details, and discount justification to approvers. Supports @mentions, thread-based discussions, and escalation for stalled approvals. Tracks approval SLAs and proactively alerts for at-risk items.</t>
        </is>
      </c>
      <c r="D59" s="149" t="inlineStr">
        <is>
          <t>[Manual, Time-Intensive Processes] Approval notifications buried in email. Approvers miss urgent requests. No mobile-friendly approval flow. Context switching between Slack and Salesforce. Delayed approvals impact deal velocity.</t>
        </is>
      </c>
      <c r="E59" s="149" t="inlineStr">
        <is>
          <t>Does not qualify as AI Agent</t>
        </is>
      </c>
      <c r="F59" s="149" t="inlineStr">
        <is>
          <t>RATIONALE:
TECHNOLOGY: Slack Agent (Salesforce integration)
AI QUALIFICATION: NO
- Notification routing is rule-based (event → channel)
- Approval actions are button clicks, not AI decisions
- No learning, prediction, or NLP involved
- Standard workflow automation with Slack delivery
SIEMENS CRITERIA ASSESSMENT:
- Business Value: HIGH (faster approvals, mobile access)
- Cross-business Applicability: HIGH (all approval workflows)
- Technical Complexity: LOW (OOB Slack integration)
- ACP Compliance: Level 1 (OOB Salesforce for Slack)
- Alignment with Initiatives: HIGH (collaboration, workflow)
- User Impact: HIGH (approval convenience)
CONCLUSION: This is workflow notification delivery via Slack, not an AI agent. Valuable automation but mislabeled. Rename to 'Slack Notification Service' or 'Approval Notification Integration'.</t>
        </is>
      </c>
      <c r="G59" s="148" t="inlineStr">
        <is>
          <t>OOB: Slack Agent + Salesforce Approval Workflows
CONFIG: Approval routing rules, Slack channel integration, context cards
CUSTOM: SLA tracking, escalation rules, approval delegation
AGENTFORCE: Slack integration with Approval actions</t>
        </is>
      </c>
      <c r="H59" s="149" t="inlineStr">
        <is>
          <t>Salesforce CRM + CPQ + Approval Workflows + Slack</t>
        </is>
      </c>
      <c r="I59" s="149" t="inlineStr">
        <is>
          <t>Salesforce approval workflows; User notification preferences; Slack channel mappings; Approval policy rules; User presence and availability</t>
        </is>
      </c>
      <c r="J59" s="149" t="inlineStr">
        <is>
          <t>Triggered by Salesforce approval events (quote submitted, discount requested, credit approval needed). Routes notification to appropriate Slack channel or DM based on configured rules. Includes approval context (deal value, customer, requestor). Provides one-click approve/reject buttons in Slack. Syncs approval decision back to Salesforce. Escalates if approval not completed within SLA.</t>
        </is>
      </c>
      <c r="K59" s="149" t="inlineStr">
        <is>
          <t>Slack notifications with approval context; One-click approve/reject buttons; Approval status sync to Salesforce; SLA tracking and escalation; Mobile-friendly approval interface</t>
        </is>
      </c>
      <c r="L59" s="149" t="inlineStr">
        <is>
          <t>Approval response time: &lt;2 hours (from &gt;8 hours)
Approval completion within SLA: &gt;95%
Mobile approval adoption: &gt;60%
Approver satisfaction: &gt;4.0/5.0
Deal cycle impact: &gt;15% faster close
Stalled approval rate: &lt;5%</t>
        </is>
      </c>
      <c r="M59" s="149" t="inlineStr">
        <is>
          <t>Yes</t>
        </is>
      </c>
      <c r="N59" s="149" t="inlineStr">
        <is>
          <t>High</t>
        </is>
      </c>
      <c r="O59" s="149" t="inlineStr">
        <is>
          <t>Strong business impact with quantified targets: &gt;95%, &gt;60%, &gt;15%, &lt;2 hours. Addresses [Manual, Time-Intensive Processes] pain point with measurable ROI.</t>
        </is>
      </c>
      <c r="P59" s="149" t="inlineStr">
        <is>
          <t>High</t>
        </is>
      </c>
      <c r="Q59" s="149" t="inlineStr">
        <is>
          <t>Sales productivity tools benefit all customer-facing roles. Account intelligence, deal status, and coaching apply across DI, SI, and MO.</t>
        </is>
      </c>
      <c r="R59" s="149" t="inlineStr">
        <is>
          <t>High</t>
        </is>
      </c>
      <c r="S59" s="149" t="inlineStr">
        <is>
          <t>Complex implementation: 4 systems (Salesforce CRM ). Estimated significant technical effort.</t>
        </is>
      </c>
      <c r="T59" s="149" t="inlineStr">
        <is>
          <t>High</t>
        </is>
      </c>
      <c r="U59" s="149" t="inlineStr">
        <is>
          <t>Standard CRM data. ACP Level 2 sufficient for implementation.</t>
        </is>
      </c>
      <c r="V59" s="149" t="inlineStr">
        <is>
          <t>Low</t>
        </is>
      </c>
      <c r="W59" s="149" t="inlineStr">
        <is>
          <t>STATUS VALIDATED - NO COMPETING INITIATIVE: Notifications and approval. Checked: AF (12), DI (10), SI (9), SAP AI (16) - none address proactive notifications. RECOMMENDATION: Proceed - unique capability.</t>
        </is>
      </c>
      <c r="X59" s="149" t="inlineStr">
        <is>
          <t>High</t>
        </is>
      </c>
      <c r="Y59" s="149" t="inlineStr">
        <is>
          <t>Addresses critical pain: [Manual, Time-Intensive Processes]. Specific issue: 'Approval notifications buried in email...'. Quantified impact in source data.</t>
        </is>
      </c>
      <c r="Z59" s="149" t="inlineStr">
        <is>
          <t>High</t>
        </is>
      </c>
      <c r="AA59" s="149" t="inlineStr">
        <is>
          <t>Strong business impact with quantified targets: &gt;95%, &gt;60%, &gt;15%, &lt;2 hours. Addresses [Manual, Time-Intensive Processes] pain point with measurable ROI.</t>
        </is>
      </c>
      <c r="AB59" s="149" t="inlineStr">
        <is>
          <t>Medium</t>
        </is>
      </c>
      <c r="AC59" s="149" t="inlineStr">
        <is>
          <t>Standard timeline: 3-6 months. 4 system integrations. Key systems: Salesforce CRM . Some custom development included.</t>
        </is>
      </c>
    </row>
  </sheetData>
  <mergeCells count="3">
    <mergeCell ref="Z1:AC1"/>
    <mergeCell ref="H1:L1"/>
    <mergeCell ref="N1:Y1"/>
  </mergeCells>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10" defaultColWidth="8.83203125" defaultRowHeight="15"/>
  <sheetData>
    <row r="1">
      <c r="A1" t="inlineStr">
        <is>
          <t>See PPT</t>
        </is>
      </c>
    </row>
  </sheetData>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10" defaultColWidth="8.83203125" defaultRowHeight="15"/>
  <sheetData>
    <row r="1">
      <c r="A1" t="inlineStr">
        <is>
          <t>See PPT</t>
        </is>
      </c>
    </row>
  </sheetData>
  <pageMargins left="0.7" right="0.7" top="0.75" bottom="0.75" header="0.3" footer="0.3"/>
</worksheet>
</file>

<file path=xl/worksheets/sheet8.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10" defaultColWidth="8.83203125" defaultRowHeight="15"/>
  <sheetData>
    <row r="1">
      <c r="A1" t="inlineStr">
        <is>
          <t>TBD on 22.01.2026</t>
        </is>
      </c>
    </row>
  </sheetData>
  <pageMargins left="0.7" right="0.7" top="0.75" bottom="0.75" header="0.3" footer="0.3"/>
</worksheet>
</file>

<file path=xl/worksheets/sheet9.xml><?xml version="1.0" encoding="utf-8"?>
<worksheet xmlns="http://schemas.openxmlformats.org/spreadsheetml/2006/main">
  <sheetPr>
    <outlinePr summaryBelow="1" summaryRight="1"/>
    <pageSetUpPr/>
  </sheetPr>
  <dimension ref="A2:N19"/>
  <sheetViews>
    <sheetView workbookViewId="0">
      <selection activeCell="H5" sqref="H5"/>
    </sheetView>
  </sheetViews>
  <sheetFormatPr baseColWidth="10" defaultColWidth="9.1640625" defaultRowHeight="16"/>
  <cols>
    <col width="3.33203125" customWidth="1" style="34" min="1" max="1"/>
    <col width="9.5" customWidth="1" style="117" min="2" max="2"/>
    <col width="34.6640625" customWidth="1" style="117" min="3" max="3"/>
    <col width="11.33203125" customWidth="1" style="117" min="4" max="4"/>
    <col width="18.83203125" customWidth="1" style="117" min="5" max="5"/>
    <col width="24.1640625" customWidth="1" style="117" min="6" max="6"/>
    <col width="44.1640625" customWidth="1" style="117" min="7" max="7"/>
    <col width="35.5" customWidth="1" style="34" min="8" max="8"/>
    <col width="36.5" customWidth="1" style="117" min="9" max="9"/>
    <col width="28.83203125" customWidth="1" style="117" min="10" max="10"/>
    <col width="36.1640625" bestFit="1" customWidth="1" style="117" min="11" max="11"/>
    <col width="22.83203125" customWidth="1" style="34" min="12" max="12"/>
    <col width="15.5" customWidth="1" style="34" min="13" max="13"/>
    <col width="21.1640625" customWidth="1" style="33" min="14" max="14"/>
    <col width="9.1640625" customWidth="1" style="34" min="15" max="18"/>
    <col width="9.1640625" customWidth="1" style="34" min="19" max="16384"/>
  </cols>
  <sheetData>
    <row r="1" ht="16" customHeight="1" s="113"/>
    <row r="2" ht="30.75" customFormat="1" customHeight="1" s="119">
      <c r="B2" s="39" t="inlineStr">
        <is>
          <t>WORKSTREAM</t>
        </is>
      </c>
      <c r="C2" s="39" t="inlineStr">
        <is>
          <t>AGENT</t>
        </is>
      </c>
      <c r="D2" s="39" t="inlineStr">
        <is>
          <t>INT/EXT AGENT</t>
        </is>
      </c>
      <c r="E2" s="39" t="inlineStr">
        <is>
          <t>STATUS</t>
        </is>
      </c>
      <c r="F2" s="39" t="inlineStr">
        <is>
          <t>SCOPE | USE CASE</t>
        </is>
      </c>
      <c r="G2" s="39" t="inlineStr">
        <is>
          <t>DESCRIPTION - BUSINESS VALUE</t>
        </is>
      </c>
      <c r="H2" s="119" t="inlineStr">
        <is>
          <t>SF AGENT</t>
        </is>
      </c>
      <c r="I2" s="39" t="inlineStr">
        <is>
          <t>DATA SOURCES</t>
        </is>
      </c>
      <c r="J2" s="39" t="inlineStr">
        <is>
          <t>USAGE/USERS</t>
        </is>
      </c>
      <c r="K2" s="39" t="inlineStr">
        <is>
          <t>NEXT STEPS</t>
        </is>
      </c>
      <c r="L2" s="118" t="inlineStr">
        <is>
          <t>OWNERSHIP</t>
        </is>
      </c>
    </row>
    <row r="3" ht="17" customHeight="1" s="113">
      <c r="L3" s="34" t="inlineStr">
        <is>
          <t>Siemens</t>
        </is>
      </c>
      <c r="M3" s="34" t="inlineStr">
        <is>
          <t>SF</t>
        </is>
      </c>
      <c r="N3" s="117" t="inlineStr">
        <is>
          <t>Certiniha</t>
        </is>
      </c>
    </row>
    <row r="4" ht="169.5" customHeight="1" s="113">
      <c r="A4" s="34" t="inlineStr">
        <is>
          <t>✅</t>
        </is>
      </c>
      <c r="B4" s="117" t="inlineStr">
        <is>
          <t>SXMP</t>
        </is>
      </c>
      <c r="C4" s="117" t="inlineStr">
        <is>
          <t>Operations Agent</t>
        </is>
      </c>
      <c r="D4" s="117" t="inlineStr">
        <is>
          <t>External</t>
        </is>
      </c>
      <c r="E4" s="117" t="inlineStr">
        <is>
          <t>In Discussion</t>
        </is>
      </c>
      <c r="F4" s="117" t="inlineStr">
        <is>
          <t>FAQ &amp; efficient case routing</t>
        </is>
      </c>
      <c r="G4" s="117" t="inlineStr">
        <is>
          <t xml:space="preserve">Many cases directed to SXMP, 2 people, located  in the US and elsewhere handling them manually. Focus on operational questions.
Agent available for Authenicated Users
#Cases/month: ?
#of Authenticated Users?
</t>
        </is>
      </c>
      <c r="H4" s="34" t="inlineStr">
        <is>
          <t>Agentforce Service Agent (ASA)</t>
        </is>
      </c>
      <c r="I4" s="43" t="inlineStr">
        <is>
          <t xml:space="preserve"> (All internal Facing. How will customer  be mapped to the data in Jira? Expose: Status of the case, resolution of the case, not internal comments etc. Limited number of fields) 
- Snowflake
- Jira 
- MyIT
- Confluence
- GBS
- …</t>
        </is>
      </c>
      <c r="K4" s="117" t="inlineStr">
        <is>
          <t>Hand over to Agent factory for evaluation to decie on appropriate tech stack for this requirement</t>
        </is>
      </c>
      <c r="L4" s="34" t="inlineStr">
        <is>
          <t>Christian Miss</t>
        </is>
      </c>
      <c r="N4" s="117" t="n"/>
    </row>
    <row r="5" ht="339" customHeight="1" s="113">
      <c r="A5" s="34" t="inlineStr">
        <is>
          <t>✅</t>
        </is>
      </c>
      <c r="C5" s="117" t="inlineStr">
        <is>
          <t>Seller Portal Agent</t>
        </is>
      </c>
      <c r="D5" s="117" t="inlineStr">
        <is>
          <t>Internal/External</t>
        </is>
      </c>
      <c r="E5" s="117" t="inlineStr">
        <is>
          <t>On Hold
Looking for guidance on when to use SF Agentforce, pros/cons etc.</t>
        </is>
      </c>
      <c r="F5" s="117" t="inlineStr">
        <is>
          <t xml:space="preserve">5 use cases shared. </t>
        </is>
      </c>
      <c r="G5" s="40" t="inlineStr">
        <is>
          <t>Use Cases:
(1) Offering approval of 3Ps -&gt; approving offerings before they get published takes  4 - 7 weeks weeks; most time consuming check is with BUs to review whether offering is competitive, complementary to our portfolio, which business unit it maps to
(2) Support applicants during their application to become SX MP Seller; guide them through onboarding process
(3) Provide intelligent product descriptions and thereby enhance visibility of 3P offering on SX MP search; and reduce time during offering creation 
(4) Get actionable insights from analytics; currently we only show Web Traffic KPIs; want to make it actionable and tangible for 3P sellers and give advice how they can enhance their appearance on SX MP 
(5) Seller support within Seller Portal 
#Users? All 3rd party companies
# 3rd party on-boarding/month?</t>
        </is>
      </c>
      <c r="H5" s="34" t="inlineStr">
        <is>
          <t>Agentforce Service Agent (ASA)</t>
        </is>
      </c>
      <c r="I5" s="43" t="inlineStr">
        <is>
          <t>- Data on Seller portal Org
- For matching 3P offering to Siemens Portfolio, Product info from PMD's etc will be needed in future.</t>
        </is>
      </c>
      <c r="K5" s="117" t="inlineStr">
        <is>
          <t>Salesforce on hold - POC ran to showcase what is possible. Salesforce Agentforce not seen as necessary to implement for requirements being discussed
Evaluating IT DA solution</t>
        </is>
      </c>
      <c r="L5" s="34" t="inlineStr">
        <is>
          <t>Sabrina Struller</t>
        </is>
      </c>
      <c r="N5" s="117" t="n"/>
    </row>
    <row r="6" ht="323.25" customFormat="1" customHeight="1" s="36">
      <c r="A6" s="36" t="inlineStr">
        <is>
          <t>✅</t>
        </is>
      </c>
      <c r="B6" s="41" t="inlineStr">
        <is>
          <t>SieSales</t>
        </is>
      </c>
      <c r="C6" s="41" t="inlineStr">
        <is>
          <t>Qualification Agent</t>
        </is>
      </c>
      <c r="D6" s="41" t="inlineStr">
        <is>
          <t>External</t>
        </is>
      </c>
      <c r="E6" s="41" t="inlineStr">
        <is>
          <t>In UAT</t>
        </is>
      </c>
      <c r="F6" s="41" t="inlineStr">
        <is>
          <t>Pick up and qualify daily SieSales Leads</t>
        </is>
      </c>
      <c r="G6" s="41" t="inlineStr">
        <is>
          <t>Manually pick up Eloqua leads.
SDR - follows up with Email with link (upto 2 further emails). User gets redirected to a chat interface portal to further qualify by asking a series of questions. Once leads is further qualified, get re-directed into a queue, SieSales user assigns the lead to a seller. 400 Leads a day - 2% to convert.
Other potential: SieSales also has ~15K leads that get archived every 180 days because nothing becomes of them, SXMP (pre-qualified by GBS) leads.
SDR: Email send-outs (400/day) / 1300 a month
Lead Qualification Agent: chat function: User needs to have access to the email to access the chat interface portal
E.g. Each lead would get a max of 3 emails + plus an optional chat = 1300 x 4 = 5,200 conversations/actions average</t>
        </is>
      </c>
      <c r="H6" s="41" t="inlineStr">
        <is>
          <t>SDR Agent &amp;
Agentforce Service Agent (ASA)</t>
        </is>
      </c>
      <c r="I6" s="44" t="inlineStr">
        <is>
          <t xml:space="preserve">- SieSales Org Data
- Eloqua Leads pushed in manually/scheduled to be pushed
- Also in SieSales. Leads qualified or makred for telequalification go to GBS (FLCS)
Chat function - custom URL: 
- Subset of email User base
- No Authentication
- No Email verification
</t>
        </is>
      </c>
      <c r="J6" s="44" t="inlineStr">
        <is>
          <t xml:space="preserve">SDR: 
- 1200 like Eloqua  leads/ month (17 actions per lead quali conversation, each action consumes 1 Flex credit. Sometime refered to 400 emails / day)
</t>
        </is>
      </c>
      <c r="K6" s="41" t="inlineStr">
        <is>
          <t>Ready to Go-Live
Continue to undersatnd and learn how credit comsuption evolves.
TODO
Sales target Architectural review on Lead-Cash process on Salesforce technology.</t>
        </is>
      </c>
      <c r="L6" s="36" t="inlineStr">
        <is>
          <t>Todd Jones</t>
        </is>
      </c>
      <c r="N6" s="41" t="n"/>
    </row>
    <row r="7" ht="92.25" customFormat="1" customHeight="1" s="36">
      <c r="B7" s="41" t="n"/>
      <c r="C7" s="41" t="inlineStr">
        <is>
          <t>Internal Employee Agent</t>
        </is>
      </c>
      <c r="D7" s="41" t="inlineStr">
        <is>
          <t>Internal</t>
        </is>
      </c>
      <c r="E7" s="41" t="inlineStr">
        <is>
          <t>In Implementation</t>
        </is>
      </c>
      <c r="F7" s="41" t="inlineStr">
        <is>
          <t>Support Sellers with Data and insights in the flow of the work (e.g., Opp prio, record summary)</t>
        </is>
      </c>
      <c r="G7" s="41" t="inlineStr">
        <is>
          <t>Support everyone in SieSales to summarise records</t>
        </is>
      </c>
      <c r="H7" s="41" t="inlineStr">
        <is>
          <t>Agentforce Employee  Agent (ASA)</t>
        </is>
      </c>
      <c r="I7" s="44" t="inlineStr">
        <is>
          <t xml:space="preserve">- SieSales, 
- DC activated: RAG and Vectorisation - no additional data coming from other sourcs?
Logging and feedback
</t>
        </is>
      </c>
      <c r="J7" s="44" t="inlineStr">
        <is>
          <t>= SieSales User base, i.e. 19K Users</t>
        </is>
      </c>
      <c r="K7" s="41" t="inlineStr">
        <is>
          <t>Fine to continue</t>
        </is>
      </c>
      <c r="L7" s="36" t="inlineStr">
        <is>
          <t>Anjali Jain</t>
        </is>
      </c>
      <c r="N7" s="41" t="n"/>
    </row>
    <row r="8" ht="200.25" customHeight="1" s="113">
      <c r="A8" s="34" t="inlineStr">
        <is>
          <t>✅</t>
        </is>
      </c>
      <c r="C8" s="117" t="inlineStr">
        <is>
          <t>Quoting Agent</t>
        </is>
      </c>
      <c r="D8" s="117" t="inlineStr">
        <is>
          <t>Internal</t>
        </is>
      </c>
      <c r="E8" s="117" t="inlineStr">
        <is>
          <t>In discussion (not until may)
May 27</t>
        </is>
      </c>
      <c r="F8" s="117" t="inlineStr">
        <is>
          <t>Provide fast quites in the flow of work</t>
        </is>
      </c>
      <c r="G8" s="117" t="inlineStr">
        <is>
          <t xml:space="preserve">CPQ+ &gt; RCA
Implementing RCA, also for systems and solutions (Agents here for doing quotations, guided selling), Service (Here no agent, goes live in May). Starting with internal usage.
Sherpa X3S, implementing service 
To support qoutes with an agent. Products being provided, solutions. Picks right services, SW. Route Quote to client and back. 
Requirements: Price recommendation + Cross/up-selling feature
</t>
        </is>
      </c>
      <c r="H8" s="117" t="inlineStr">
        <is>
          <t>Agentforce Quoting  Agent (ASA)</t>
        </is>
      </c>
      <c r="I8" s="43" t="inlineStr">
        <is>
          <t xml:space="preserve">- 3XS 
- SieSales - Revenue Cloud
- Master data management (PLM, STEP, SAP Master data, Customer master data - SF)
- Tender data
</t>
        </is>
      </c>
      <c r="J8" s="117" t="inlineStr">
        <is>
          <t xml:space="preserve">in 5 Years for RCS 6K Users
In Year 1: 500 Users
Until May: possibly no Quoting Agent
</t>
        </is>
      </c>
      <c r="K8" s="117" t="inlineStr">
        <is>
          <t>If Assisting Sales agent to provide quotes and within Revenue Cloud, should be fine.</t>
        </is>
      </c>
      <c r="L8" s="117" t="inlineStr">
        <is>
          <t>Diego Cattaneo</t>
        </is>
      </c>
      <c r="N8" s="117" t="n"/>
    </row>
    <row r="9" ht="77.25" customFormat="1" customHeight="1" s="37">
      <c r="B9" s="42" t="n"/>
      <c r="C9" s="42" t="inlineStr">
        <is>
          <t>Partner Agent</t>
        </is>
      </c>
      <c r="D9" s="42" t="n"/>
      <c r="E9" s="42" t="inlineStr">
        <is>
          <t>On Hold</t>
        </is>
      </c>
      <c r="F9" s="42" t="inlineStr">
        <is>
          <t>Partner certification
Partner Finder Data
Hybrid Deal Reg</t>
        </is>
      </c>
      <c r="G9" s="45" t="inlineStr">
        <is>
          <t xml:space="preserve">Guide on steps and process to reach the next level of partnership 
- Certification and de-registration
- Communication about knowledge 
- Partner can find the right customer </t>
        </is>
      </c>
      <c r="H9" s="42" t="inlineStr">
        <is>
          <t>Agentforce Employee  Agent
Agentforce Service  Agent (ASA)</t>
        </is>
      </c>
      <c r="I9" s="45" t="inlineStr">
        <is>
          <t xml:space="preserve">- Siemens SDC
- SieSales
</t>
        </is>
      </c>
      <c r="J9" s="42" t="n"/>
      <c r="K9" s="42" t="inlineStr">
        <is>
          <t>Plan implementation</t>
        </is>
      </c>
      <c r="L9" s="37" t="inlineStr">
        <is>
          <t>Peter Gapp</t>
        </is>
      </c>
      <c r="N9" s="42" t="n"/>
    </row>
    <row r="10" ht="61.5" customFormat="1" customHeight="1" s="37">
      <c r="A10" s="37" t="inlineStr">
        <is>
          <t>✅</t>
        </is>
      </c>
      <c r="B10" s="42" t="inlineStr">
        <is>
          <t>PX Interoperability</t>
        </is>
      </c>
      <c r="C10" s="42" t="inlineStr">
        <is>
          <t>Multi-agent/A2A</t>
        </is>
      </c>
      <c r="D10" s="42" t="n"/>
      <c r="E10" s="42" t="inlineStr">
        <is>
          <t>In progress</t>
        </is>
      </c>
      <c r="F10" s="42" t="inlineStr">
        <is>
          <t>Connect and orchestrate across multi-vendor agents</t>
        </is>
      </c>
      <c r="G10" s="42" t="inlineStr">
        <is>
          <t>Presently A2A pilot for PortfolioXpert and SF Agentforce (SDR, Service Agent etc) are being architected. Orchestration of agents on Siemens side.</t>
        </is>
      </c>
      <c r="H10" s="42" t="inlineStr">
        <is>
          <t>Pilot Concept</t>
        </is>
      </c>
      <c r="I10" s="42" t="n"/>
      <c r="J10" s="42" t="n"/>
      <c r="K10" s="42" t="inlineStr">
        <is>
          <t>Kick-off Implementation</t>
        </is>
      </c>
      <c r="L10" s="37" t="inlineStr">
        <is>
          <t>Mrinalini Dcosta</t>
        </is>
      </c>
      <c r="N10" s="42" t="n"/>
    </row>
    <row r="11" ht="308.25" customFormat="1" customHeight="1" s="36">
      <c r="A11" s="36" t="inlineStr">
        <is>
          <t>✅</t>
        </is>
      </c>
      <c r="B11" s="41" t="inlineStr">
        <is>
          <t>SiePortal</t>
        </is>
      </c>
      <c r="C11" s="41" t="inlineStr">
        <is>
          <t>Customer Agent</t>
        </is>
      </c>
      <c r="D11" s="41" t="inlineStr">
        <is>
          <t>External</t>
        </is>
      </c>
      <c r="E11" s="41" t="inlineStr">
        <is>
          <t>In Evaluation</t>
        </is>
      </c>
      <c r="F11" s="41" t="inlineStr">
        <is>
          <t>Customer support 
Product specs
Order details</t>
        </is>
      </c>
      <c r="G11" s="41" t="inlineStr">
        <is>
          <t xml:space="preserve">Replace Customer interaction on present chatbot on SiePortal with Agentforce. 'All' customer interaction handled by Agent
WIP:
POC on both platforms, Helix/Agentforce
How to implemenet an Agentforce bol solution in a more cost efficient way. EY25/beginning of FY26 deciison criteria. 
Concerns:
SF charging based on an action. What an Action is, is not clear. Setup of systems can cost a lot
Throttle conversation when out of control, deny service attack. 
Reasoning engine: OUtside of SF, sensitive data has to be masekd. Future Calude?
Security: LLM's hosted in Sweden, fall back in the US - ok for Siemens?
</t>
        </is>
      </c>
      <c r="H11" s="36" t="inlineStr">
        <is>
          <t>Agentforce Service  Agent (ASA)</t>
        </is>
      </c>
      <c r="I11" s="44" t="inlineStr">
        <is>
          <t>- SDC
- Oracle + Salesforce data cloud (duplication)
- Salesforce Data cloud (B2B commerce)
- PMD -CIC, via Kafka in JSON format &gt; handed for SF for transaction processing (This data needs to be replicated/duplicated, Vectorisation is required).
- REST API connecting to backend systems: services by Sieportal order status, Data sheets, Product proposals of a competitor, set of systems (Action by Agentforce)</t>
        </is>
      </c>
      <c r="J11" s="41" t="inlineStr">
        <is>
          <t>Pilot in Japan, #Users, AIDA Turkey
2 Million Users
1.3 visits/month (public users)
1.5 million search requests/month
20% over GenAI: 6.7 Million conversations/year</t>
        </is>
      </c>
      <c r="K11" s="41" t="inlineStr">
        <is>
          <t>Conduct architecture review with Frank to decide on Helix/Agentforce platform</t>
        </is>
      </c>
      <c r="L11" s="41" t="inlineStr">
        <is>
          <t>Frank Kirchhan, H.-P. Schuetz, M. Fuchs</t>
        </is>
      </c>
      <c r="N11" s="41" t="n"/>
    </row>
    <row r="12" ht="261.75" customHeight="1" s="113">
      <c r="A12" s="34" t="inlineStr">
        <is>
          <t>✅</t>
        </is>
      </c>
      <c r="B12" s="117" t="inlineStr">
        <is>
          <t>GBS</t>
        </is>
      </c>
      <c r="C12" s="117" t="inlineStr">
        <is>
          <t>Case / Deflection Agent</t>
        </is>
      </c>
      <c r="D12" s="117" t="inlineStr">
        <is>
          <t>External/Internal</t>
        </is>
      </c>
      <c r="E12" s="117" t="inlineStr">
        <is>
          <t>In Discussion/On hold</t>
        </is>
      </c>
      <c r="F12" s="117" t="inlineStr">
        <is>
          <t>Deflect and solve email enquiries autonomously or escalate if needed</t>
        </is>
      </c>
      <c r="G12" s="117" t="inlineStr">
        <is>
          <t>Case creation/Routing
Manual case solving through Emails
Pre-sales service requests.
Requirements range from: flitering out spam, Job requests, Siemens home appliances, compliants on Siemens employee behaviour (parking, sick leave etc) &gt; These responses can go directly from the agent to the external Siemens User
To: Complaint on old/outdated Siemens products, Quotes, Sales Rep contact for old customers. 
Concerns:
Each case is "unique" thus difficult to define topics and actions</t>
        </is>
      </c>
      <c r="H12" s="117" t="inlineStr">
        <is>
          <t>Agentforce Service  Agent (ASA)
Agentforce Employee  Agent</t>
        </is>
      </c>
      <c r="I12" s="43" t="inlineStr">
        <is>
          <t xml:space="preserve">- Siemens Int - Service Cloud (Delays in migration. Different in priorities)
 - Siemens Intranet, 
- google, 
- One note, 
- MLFB, 
- ASPA , 
- siemens gpt, 
- mylearning, and a few more 
</t>
        </is>
      </c>
      <c r="J12" s="117" t="inlineStr">
        <is>
          <t>45 Users
45 Cases/month
400K Cases/month
400 SXMP Cases/ month
(Some users have access to SieSales and GCSC org)</t>
        </is>
      </c>
      <c r="K12" s="117" t="inlineStr">
        <is>
          <t>Refine Scope and lPlan Implementation</t>
        </is>
      </c>
      <c r="L12" s="117" t="inlineStr">
        <is>
          <t>F. Plassmann, T. Tirkaz</t>
        </is>
      </c>
      <c r="N12" s="117" t="n"/>
    </row>
    <row r="13" ht="169.5" customFormat="1" customHeight="1" s="36">
      <c r="A13" s="36" t="inlineStr">
        <is>
          <t>✅</t>
        </is>
      </c>
      <c r="B13" s="41" t="inlineStr">
        <is>
          <t>SieOps</t>
        </is>
      </c>
      <c r="C13" s="41" t="inlineStr">
        <is>
          <t>Employee Agent</t>
        </is>
      </c>
      <c r="D13" s="41" t="inlineStr">
        <is>
          <t>Internal 
(to start with, might extend to other users in the future)</t>
        </is>
      </c>
      <c r="E13" s="41" t="inlineStr">
        <is>
          <t>In discussion</t>
        </is>
      </c>
      <c r="F13" s="41" t="inlineStr">
        <is>
          <t>PLM Bot
Aut. Specification review 
Similar orders
Opps to Quote
(Other use cases to be explored once licenses enabled)</t>
        </is>
      </c>
      <c r="G13" s="41" t="inlineStr">
        <is>
          <t>Use Cases: 
- SieOps Orgs Users: mostly SI EA but GSW in scope as well)
- Opps that need quotes: SieSales and SieOps back and forth manual process
- Looking to use 'Bring your own LLM' -&gt;~30% pf model costs have to be borne! Needs Data Cloud (setup as a Companion org)
- License topic dependency
- Pre and Post sales processes: Sales+Service Cloud</t>
        </is>
      </c>
      <c r="H13" s="41" t="inlineStr">
        <is>
          <t>Agentforce Service  Agent (ASA)
Agentforce Employee  Agent</t>
        </is>
      </c>
      <c r="I13" s="44" t="inlineStr">
        <is>
          <t>- SieOps data,
- SieOps Files,
- Other data from existing integrations/data,
- BYOLLM (with Data Cloud) for RAG (million of records)</t>
        </is>
      </c>
      <c r="J13" s="41" t="inlineStr">
        <is>
          <t>1 K Internal users: 2087 business users. Remaining balance of active users (2125 total) not shown are IT Users/Admin licenses</t>
        </is>
      </c>
      <c r="K13" s="41" t="inlineStr">
        <is>
          <t xml:space="preserve">SieOps AgentForce licenses/credits enabled
Evaluate if 'Model as a Service' at Siemens can be Leveraged?
Check if 'pay as you go' model is an option
</t>
        </is>
      </c>
      <c r="L13" s="41" t="inlineStr">
        <is>
          <t>Scott Nixson, David Wright</t>
        </is>
      </c>
      <c r="N13" s="41" t="n"/>
    </row>
    <row r="14" ht="184.5" customFormat="1" customHeight="1" s="36">
      <c r="A14" s="36" t="inlineStr">
        <is>
          <t>✅</t>
        </is>
      </c>
      <c r="B14" s="41" t="inlineStr">
        <is>
          <t>DISW</t>
        </is>
      </c>
      <c r="C14" s="41" t="inlineStr">
        <is>
          <t>Sales Agent</t>
        </is>
      </c>
      <c r="D14" s="41" t="inlineStr">
        <is>
          <t>External</t>
        </is>
      </c>
      <c r="E14" s="41" t="inlineStr">
        <is>
          <t>In progress</t>
        </is>
      </c>
      <c r="F14" s="41" t="inlineStr">
        <is>
          <t>Various</t>
        </is>
      </c>
      <c r="G14" s="41" t="inlineStr">
        <is>
          <t>Support Engg Research Assistance User Case -Data Cloud
Internal sales reps supported by process automation along journey (Opps generation, Pitches, Competitive info, trainings, ..)
~700 User Licences
~ Einstein for Service licences
- Bot agent to speak with the Customer on support center. Case prevention/deflection
Q: Volume of data on Highspot, Salesforce?</t>
        </is>
      </c>
      <c r="H14" s="41" t="inlineStr">
        <is>
          <t>Agentforce Sales  Agent
Slowed down by implementation of DC</t>
        </is>
      </c>
      <c r="I14" s="44" t="inlineStr">
        <is>
          <t>- Highspot,
- Knowledge base articles on DISW Org</t>
        </is>
      </c>
      <c r="J14" s="41" t="inlineStr">
        <is>
          <t>R&amp;D
~1K Users
~ 6 million visits/ year (not unique. Each visitor 20-30 times /year)
~ 4 million read a knowledge base article and leave
~ Cases 250K/year</t>
        </is>
      </c>
      <c r="K14" s="41" t="inlineStr">
        <is>
          <t>Constanze TODO: Understand architectural consideration, make aware of Sally. Include Belen.
Move to CompanionOrg  - Now done &amp; Kick-off implementation</t>
        </is>
      </c>
      <c r="L14" s="41" t="inlineStr">
        <is>
          <t>Lane Giles</t>
        </is>
      </c>
      <c r="N14" s="41" t="n"/>
    </row>
    <row r="15" ht="184.5" customHeight="1" s="113">
      <c r="A15" s="34" t="inlineStr">
        <is>
          <t>✅</t>
        </is>
      </c>
      <c r="B15" s="117" t="inlineStr">
        <is>
          <t>DISW</t>
        </is>
      </c>
      <c r="C15" s="117" t="inlineStr">
        <is>
          <t>Service Agent</t>
        </is>
      </c>
      <c r="D15" s="117" t="inlineStr">
        <is>
          <t>Internal</t>
        </is>
      </c>
      <c r="E15" s="117" t="inlineStr">
        <is>
          <t>In Discussion</t>
        </is>
      </c>
      <c r="F15" s="117" t="inlineStr">
        <is>
          <t>Ressource management community: Capacity &amp; demand</t>
        </is>
      </c>
      <c r="G15" s="117" t="inlineStr">
        <is>
          <t xml:space="preserve">Build an Agentforce use case on top of Certinia, managed package, on the SF GSCS Org platform. Currently the ressource management community is the main focus. 
In the furture Agentic solutions for possibly 4 communities, Prj Management community, Servce Mngement community, Engagement community, Customer success community could be considered.
</t>
        </is>
      </c>
      <c r="H15" s="34" t="inlineStr">
        <is>
          <t>Agentforce Service  Agent (ASA)</t>
        </is>
      </c>
      <c r="I15" s="43" t="inlineStr">
        <is>
          <t>- Certinia Data on SF platform
- Omni Studios
(In the future SAP data might also be relevant for revenue/Cost forecasting)</t>
        </is>
      </c>
      <c r="J15" s="43" t="inlineStr">
        <is>
          <t>- Ressource management ~100 Users
(GSCS has about 8.5K users)</t>
        </is>
      </c>
      <c r="L15" s="117" t="inlineStr">
        <is>
          <t xml:space="preserve">Yvan Marceau
Siemens Digital Industries Software
Global Customer Success
 </t>
        </is>
      </c>
      <c r="N15" s="117" t="inlineStr">
        <is>
          <t xml:space="preserve">Kurt Kuelz, Global SVP, Support, Services &amp; Success Certinina </t>
        </is>
      </c>
    </row>
    <row r="16" ht="15.75" customHeight="1" s="113"/>
    <row r="17" ht="16" customHeight="1" s="113"/>
    <row r="18" ht="30.75" customHeight="1" s="113">
      <c r="A18" s="116" t="inlineStr">
        <is>
          <t>✅</t>
        </is>
      </c>
      <c r="C18" s="117" t="inlineStr">
        <is>
          <t xml:space="preserve">Have reached Contact person and collected detailed info  </t>
        </is>
      </c>
    </row>
    <row r="19" ht="30.75" customHeight="1" s="113">
      <c r="A19" s="120" t="n"/>
      <c r="C19" s="117" t="inlineStr">
        <is>
          <t>Use Cases currently requiring immediate Credits</t>
        </is>
      </c>
    </row>
  </sheetData>
  <mergeCells count="3">
    <mergeCell ref="A18:B18"/>
    <mergeCell ref="L2:N2"/>
    <mergeCell ref="A19:B19"/>
  </mergeCell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Olga González Esteban</dc:creator>
  <dcterms:created xmlns:dcterms="http://purl.org/dc/terms/" xmlns:xsi="http://www.w3.org/2001/XMLSchema-instance" xsi:type="dcterms:W3CDTF">2024-08-09T15:31:22Z</dcterms:created>
  <dcterms:modified xmlns:dcterms="http://purl.org/dc/terms/" xmlns:xsi="http://www.w3.org/2001/XMLSchema-instance" xsi:type="dcterms:W3CDTF">2026-01-22T15:45:49Z</dcterms:modified>
  <cp:lastModifiedBy>Bhamare, Lalitkumar</cp:lastModifiedBy>
</cp:coreProperties>
</file>